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3f3137fdcfa36c/Área de Trabalho/"/>
    </mc:Choice>
  </mc:AlternateContent>
  <xr:revisionPtr revIDLastSave="0" documentId="8_{F2FE5E06-2EC2-40F2-AD2C-70E308F5B997}" xr6:coauthVersionLast="47" xr6:coauthVersionMax="47" xr10:uidLastSave="{00000000-0000-0000-0000-000000000000}"/>
  <bookViews>
    <workbookView xWindow="-108" yWindow="-108" windowWidth="23256" windowHeight="12456" tabRatio="4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<sst xmlns="http://schemas.openxmlformats.org/spreadsheetml/2006/main" count="2022" uniqueCount="324">
  <si>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</si>
  <si>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</si>
  <si>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</si>
  <si>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</si>
  <si>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</si>
  <si>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</si>
  <si>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</si>
  <si>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</si>
  <si>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</si>
  <si>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</si>
  <si>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</si>
  <si>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</si>
  <si>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</si>
  <si>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</si>
  <si>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</si>
  <si>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</si>
  <si>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</si>
  <si>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</si>
  <si>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</si>
  <si>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</si>
  <si>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</si>
  <si>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</si>
  <si>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</si>
  <si>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</si>
  <si>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</si>
  <si>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</si>
  <si>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</si>
  <si>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</si>
  <si>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</si>
  <si>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</si>
  <si>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</si>
  <si>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</si>
  <si>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</si>
  <si>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</si>
  <si>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</si>
  <si>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</si>
  <si>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</si>
  <si>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</si>
  <si>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</si>
  <si>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</si>
  <si>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</si>
  <si>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</si>
  <si>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</si>
  <si>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</si>
  <si>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</si>
  <si>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</si>
  <si>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</si>
  <si>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</si>
  <si>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</si>
  <si>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</si>
  <si>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</si>
  <si>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</si>
  <si>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</si>
  <si>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</si>
  <si>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</si>
  <si>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</si>
  <si>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</si>
  <si>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</si>
  <si>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</si>
  <si>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</si>
  <si>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</si>
  <si>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</si>
  <si>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</si>
  <si>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</si>
  <si>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</si>
  <si>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</si>
  <si>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</si>
  <si>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</si>
  <si>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</si>
  <si>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</si>
  <si>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</si>
  <si>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</si>
  <si>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</si>
  <si>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</si>
  <si>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</si>
  <si>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</si>
  <si>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</si>
  <si>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</si>
  <si>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</si>
  <si>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</si>
  <si>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</si>
  <si>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</si>
  <si>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</si>
  <si>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</si>
  <si>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</si>
  <si>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</si>
  <si>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</si>
  <si>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</si>
  <si>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</si>
  <si>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</si>
  <si>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</si>
  <si>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</si>
  <si>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</si>
  <si>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</si>
  <si>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</si>
  <si>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</si>
  <si>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</si>
  <si>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</si>
  <si>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</si>
  <si>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</si>
  <si>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</si>
  <si>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</si>
  <si>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</si>
  <si>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</si>
  <si>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</si>
  <si>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</si>
  <si>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</si>
  <si>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</si>
  <si>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</si>
  <si>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</si>
  <si>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</si>
  <si>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</si>
  <si>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</si>
  <si>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</si>
  <si>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</si>
  <si>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</si>
  <si>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</si>
  <si>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</si>
  <si>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</si>
  <si>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</si>
  <si>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</si>
  <si>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</si>
  <si>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</si>
  <si>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</si>
  <si>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</si>
  <si>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</si>
  <si>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</si>
  <si>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</si>
  <si>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</si>
  <si>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</si>
  <si>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</si>
  <si>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</si>
  <si>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</si>
  <si>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</si>
  <si>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</si>
  <si>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</si>
  <si>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</si>
  <si>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</si>
  <si>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</si>
  <si>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</si>
  <si>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</si>
  <si>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</si>
  <si>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</si>
  <si>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</si>
  <si>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</si>
  <si>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</si>
  <si>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</si>
  <si>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</si>
  <si>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</si>
  <si>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</si>
  <si>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</si>
  <si>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</si>
  <si>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</si>
  <si>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</si>
  <si>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</si>
  <si>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</si>
  <si>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</si>
  <si>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</si>
  <si>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</si>
  <si>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</si>
  <si>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</si>
  <si>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</si>
  <si>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</si>
  <si>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</si>
  <si>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</si>
  <si>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</si>
  <si>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</si>
  <si>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</si>
  <si>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</si>
  <si>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</si>
  <si>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</si>
  <si>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</si>
  <si>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</si>
  <si>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</si>
  <si>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</si>
  <si>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</si>
  <si>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</si>
  <si>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</si>
  <si>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</si>
  <si>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</si>
  <si>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</si>
  <si>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</si>
  <si>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</si>
  <si>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</si>
  <si>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</si>
  <si>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</si>
  <si>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</si>
  <si>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</si>
  <si>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</si>
  <si>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</si>
  <si>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</si>
  <si>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</si>
  <si>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</si>
  <si>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</si>
  <si>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</si>
  <si>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</si>
  <si>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</si>
  <si>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</si>
  <si>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</si>
  <si>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</si>
  <si>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</si>
  <si>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</si>
  <si>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</si>
  <si>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</si>
  <si>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</si>
  <si>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</si>
  <si>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</si>
  <si>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</si>
  <si>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</si>
  <si>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</si>
  <si>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</si>
  <si>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</si>
  <si>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</si>
  <si>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</si>
  <si>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</si>
  <si>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</si>
  <si>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</si>
  <si>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</si>
  <si>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</si>
  <si>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</si>
  <si>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</si>
  <si>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</si>
  <si>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</si>
  <si>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</si>
  <si>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</si>
  <si>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</si>
  <si>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</si>
  <si>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</si>
  <si>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</si>
  <si>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</si>
  <si>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</si>
  <si>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</si>
  <si>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</si>
  <si>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</si>
  <si>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</si>
  <si>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</si>
  <si>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</si>
  <si>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</si>
  <si>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</si>
  <si>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</si>
  <si>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</si>
  <si>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</si>
  <si>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</si>
  <si>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</si>
  <si>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</si>
  <si>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</si>
  <si>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</si>
  <si>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</si>
  <si>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</si>
  <si>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</si>
  <si>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</si>
  <si>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</si>
  <si>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</si>
  <si>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</si>
  <si>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</si>
  <si>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</si>
  <si>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</si>
  <si>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</si>
  <si>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</si>
  <si>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</si>
  <si>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</si>
  <si>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</si>
  <si>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</si>
  <si>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</si>
  <si>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</si>
  <si>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</si>
  <si>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</si>
  <si>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</si>
  <si>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</si>
  <si>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</si>
  <si>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</si>
  <si>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</si>
  <si>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</si>
  <si>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</si>
  <si>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</si>
  <si>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</si>
  <si>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</si>
  <si>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</si>
  <si>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</si>
  <si>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</si>
  <si>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</si>
  <si>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</si>
  <si>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</si>
  <si>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</si>
  <si>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</si>
  <si>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</si>
  <si>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</si>
  <si>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</si>
  <si>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</si>
  <si>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</si>
  <si>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</si>
  <si>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</si>
  <si>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</si>
  <si>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</si>
  <si>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</si>
  <si>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</si>
  <si>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</si>
  <si>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</si>
  <si>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</si>
  <si>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</si>
  <si>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</si>
  <si>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</si>
  <si>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</si>
  <si>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</si>
  <si>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</si>
  <si>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</si>
  <si>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</si>
  <si>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</si>
  <si>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</si>
  <si>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</si>
  <si>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</si>
  <si>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</si>
  <si>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</si>
  <si>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 é uma pergunta de negócios respondida através de uma análise de dados especiífica</t>
  </si>
  <si>
    <r>
      <t>Pergunta de negócios 1 -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</si>
  <si>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negócios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</t>
    </r>
  </si>
  <si>
    <t>Soma de Total Value</t>
  </si>
  <si>
    <t>Rótulos de Linha</t>
  </si>
  <si>
    <t>Total Geral</t>
  </si>
  <si>
    <t>XBOX GAME PASS SUBSCRIPTIONS SALES</t>
  </si>
  <si>
    <t>Soma de EA Play Season Pass</t>
  </si>
  <si>
    <t>Pergunta de negócios 3 - Total de vendas de assinatura do EA Play</t>
  </si>
  <si>
    <t>Pergunta de negócios 3 - 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</si>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</sst>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8" borderId="0" xfId="3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2" xfId="1" applyFont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6"/>
    </xf>
    <xf numFmtId="0" fontId="6" fillId="7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EFE4190E-1D1B-4E0D-BA8E-C1C646780C0A}">
      <tableStyleElement type="wholeTable" dxfId="1"/>
      <tableStyleElement type="headerRow" dxfId="0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1-4253-8A58-AF66B4C59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896911"/>
        <c:axId val="768732720"/>
      </c:barChart>
      <c:catAx>
        <c:axId val="33089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8732720"/>
        <c:crosses val="autoZero"/>
        <c:auto val="1"/>
        <c:lblAlgn val="ctr"/>
        <c:lblOffset val="100"/>
        <c:noMultiLvlLbl val="0"/>
      </c:catAx>
      <c:valAx>
        <c:axId val="7687327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08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85726</xdr:colOff>
      <xdr:row>1</xdr:row>
      <xdr:rowOff>9526</xdr:rowOff>
    </xdr:from>
    <xdr:to>
      <xdr:col>2</xdr:col>
      <xdr:colOff>466726</xdr:colOff>
      <xdr:row>3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A3FC4A-585C-47AE-A340-EB98743FB6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6" t="14815" r="72215" b="12963"/>
        <a:stretch>
          <a:fillRect/>
        </a:stretch>
      </xdr:blipFill>
      <xdr:spPr>
        <a:xfrm>
          <a:off x="2009776" y="190501"/>
          <a:ext cx="628650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17146</xdr:rowOff>
    </xdr:from>
    <xdr:to>
      <xdr:col>0</xdr:col>
      <xdr:colOff>1895475</xdr:colOff>
      <xdr:row>13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6312930-28FB-4726-8133-FF8D58E091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245871"/>
              <a:ext cx="1895474" cy="1615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47625</xdr:colOff>
      <xdr:row>6</xdr:row>
      <xdr:rowOff>57150</xdr:rowOff>
    </xdr:from>
    <xdr:to>
      <xdr:col>10</xdr:col>
      <xdr:colOff>57150</xdr:colOff>
      <xdr:row>15</xdr:row>
      <xdr:rowOff>66675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62163E9-9089-92E2-2BA0-462EB2DD9822}"/>
            </a:ext>
          </a:extLst>
        </xdr:cNvPr>
        <xdr:cNvGrpSpPr/>
      </xdr:nvGrpSpPr>
      <xdr:grpSpPr>
        <a:xfrm>
          <a:off x="2219325" y="1285875"/>
          <a:ext cx="4886325" cy="1876425"/>
          <a:chOff x="2219325" y="1257299"/>
          <a:chExt cx="4886325" cy="187642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F9B0BF7-4AC3-66D7-5D6F-35BD94C7C770}"/>
              </a:ext>
            </a:extLst>
          </xdr:cNvPr>
          <xdr:cNvSpPr/>
        </xdr:nvSpPr>
        <xdr:spPr>
          <a:xfrm>
            <a:off x="2219325" y="1257299"/>
            <a:ext cx="4886325" cy="1876425"/>
          </a:xfrm>
          <a:prstGeom prst="roundRect">
            <a:avLst>
              <a:gd name="adj" fmla="val 95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E3E2546-37BE-4095-B13D-885D09956368}"/>
              </a:ext>
            </a:extLst>
          </xdr:cNvPr>
          <xdr:cNvSpPr/>
        </xdr:nvSpPr>
        <xdr:spPr>
          <a:xfrm>
            <a:off x="4267200" y="1935479"/>
            <a:ext cx="2514600" cy="876300"/>
          </a:xfrm>
          <a:prstGeom prst="roundRect">
            <a:avLst>
              <a:gd name="adj" fmla="val 956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13B69B7-903B-47F4-93A5-87FB7009B041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D228ED54-3ADF-41BB-89B1-47828145E5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6050" y="1790699"/>
            <a:ext cx="1219200" cy="116586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01D08E52-64B5-4EDF-DCE1-0B87921A5871}"/>
              </a:ext>
            </a:extLst>
          </xdr:cNvPr>
          <xdr:cNvSpPr/>
        </xdr:nvSpPr>
        <xdr:spPr>
          <a:xfrm>
            <a:off x="2228850" y="1257300"/>
            <a:ext cx="4867275" cy="428625"/>
          </a:xfrm>
          <a:prstGeom prst="round2SameRect">
            <a:avLst>
              <a:gd name="adj1" fmla="val 4457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cap="all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cap="all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do EA Play Season Pass</a:t>
            </a:r>
            <a:endParaRPr lang="pt-BR" sz="1100" cap="all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400050</xdr:colOff>
      <xdr:row>6</xdr:row>
      <xdr:rowOff>57150</xdr:rowOff>
    </xdr:from>
    <xdr:to>
      <xdr:col>19</xdr:col>
      <xdr:colOff>571500</xdr:colOff>
      <xdr:row>15</xdr:row>
      <xdr:rowOff>66675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217FCC1-582B-13B1-872E-8EB01CC41899}"/>
            </a:ext>
          </a:extLst>
        </xdr:cNvPr>
        <xdr:cNvGrpSpPr/>
      </xdr:nvGrpSpPr>
      <xdr:grpSpPr>
        <a:xfrm>
          <a:off x="8058150" y="1285875"/>
          <a:ext cx="4886325" cy="1876425"/>
          <a:chOff x="8001000" y="1181100"/>
          <a:chExt cx="4886325" cy="1876425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1E09836C-6A08-09DC-03CD-F984A6B15D7B}"/>
              </a:ext>
            </a:extLst>
          </xdr:cNvPr>
          <xdr:cNvGrpSpPr/>
        </xdr:nvGrpSpPr>
        <xdr:grpSpPr>
          <a:xfrm>
            <a:off x="8001000" y="1181100"/>
            <a:ext cx="4886325" cy="1876425"/>
            <a:chOff x="8001000" y="1181100"/>
            <a:chExt cx="4886325" cy="187642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889625D4-870E-E954-7295-B3B235E46A24}"/>
                </a:ext>
              </a:extLst>
            </xdr:cNvPr>
            <xdr:cNvSpPr/>
          </xdr:nvSpPr>
          <xdr:spPr>
            <a:xfrm>
              <a:off x="8001000" y="1181100"/>
              <a:ext cx="4886325" cy="1876425"/>
            </a:xfrm>
            <a:prstGeom prst="roundRect">
              <a:avLst>
                <a:gd name="adj" fmla="val 956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ABC9E861-4401-596C-E1A8-E7154781D808}"/>
                </a:ext>
              </a:extLst>
            </xdr:cNvPr>
            <xdr:cNvSpPr/>
          </xdr:nvSpPr>
          <xdr:spPr>
            <a:xfrm>
              <a:off x="10048875" y="1859280"/>
              <a:ext cx="2571750" cy="876300"/>
            </a:xfrm>
            <a:prstGeom prst="roundRect">
              <a:avLst>
                <a:gd name="adj" fmla="val 956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63546363-7EA1-475F-8A6A-1A22D1758F03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R$ 940,00</a:t>
              </a:fld>
              <a:endParaRPr lang="pt-BR" sz="3600" b="0" i="0" u="none" strike="noStrike">
                <a:solidFill>
                  <a:srgbClr val="5BF6A8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1F22789D-1313-DC34-A52D-FD3A3852ACE5}"/>
                </a:ext>
              </a:extLst>
            </xdr:cNvPr>
            <xdr:cNvSpPr/>
          </xdr:nvSpPr>
          <xdr:spPr>
            <a:xfrm>
              <a:off x="8010525" y="1181101"/>
              <a:ext cx="4867275" cy="428625"/>
            </a:xfrm>
            <a:prstGeom prst="round2SameRect">
              <a:avLst>
                <a:gd name="adj1" fmla="val 44574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cap="all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cap="all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do minecraft season pass</a:t>
              </a:r>
              <a:endParaRPr lang="pt-BR" sz="1100" cap="all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BAD4E107-B326-49E3-A0EE-AA6B661C07EB}"/>
              </a:ext>
            </a:extLst>
          </xdr:cNvPr>
          <xdr:cNvGrpSpPr/>
        </xdr:nvGrpSpPr>
        <xdr:grpSpPr>
          <a:xfrm>
            <a:off x="8210550" y="1781175"/>
            <a:ext cx="1549476" cy="72199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5EB42B31-C656-2130-57D2-ABB3902EA1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2E9344E3-CACD-72E1-CF9D-7879856AAD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28575</xdr:colOff>
      <xdr:row>17</xdr:row>
      <xdr:rowOff>9525</xdr:rowOff>
    </xdr:from>
    <xdr:to>
      <xdr:col>20</xdr:col>
      <xdr:colOff>19050</xdr:colOff>
      <xdr:row>32</xdr:row>
      <xdr:rowOff>127635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E2379C8E-AEC8-1D52-9B0A-89ED6042DCD8}"/>
            </a:ext>
          </a:extLst>
        </xdr:cNvPr>
        <xdr:cNvGrpSpPr/>
      </xdr:nvGrpSpPr>
      <xdr:grpSpPr>
        <a:xfrm>
          <a:off x="2200275" y="3467100"/>
          <a:ext cx="10801350" cy="2832735"/>
          <a:chOff x="2200275" y="3467100"/>
          <a:chExt cx="10801350" cy="283273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ACFCC17-6A30-A5F9-43D0-2DC2E5FECC7D}"/>
              </a:ext>
            </a:extLst>
          </xdr:cNvPr>
          <xdr:cNvGrpSpPr/>
        </xdr:nvGrpSpPr>
        <xdr:grpSpPr>
          <a:xfrm>
            <a:off x="2200275" y="3467100"/>
            <a:ext cx="10801350" cy="2832735"/>
            <a:chOff x="2009775" y="1066800"/>
            <a:chExt cx="4895850" cy="283273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AAB99C8-05FB-C3F6-3F1C-6A0C236547DE}"/>
                </a:ext>
              </a:extLst>
            </xdr:cNvPr>
            <xdr:cNvSpPr/>
          </xdr:nvSpPr>
          <xdr:spPr>
            <a:xfrm>
              <a:off x="2009775" y="1066800"/>
              <a:ext cx="4895850" cy="28194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5516417-C3EA-4F15-B72D-5DCCB1B52C12}"/>
                </a:ext>
              </a:extLst>
            </xdr:cNvPr>
            <xdr:cNvGraphicFramePr>
              <a:graphicFrameLocks/>
            </xdr:cNvGraphicFramePr>
          </xdr:nvGraphicFramePr>
          <xdr:xfrm>
            <a:off x="2379852" y="1647825"/>
            <a:ext cx="4198620" cy="22517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0839102B-2EAA-49D3-8AB1-CDA8CEF78A29}"/>
              </a:ext>
            </a:extLst>
          </xdr:cNvPr>
          <xdr:cNvSpPr/>
        </xdr:nvSpPr>
        <xdr:spPr>
          <a:xfrm>
            <a:off x="2200275" y="3467100"/>
            <a:ext cx="10791825" cy="428625"/>
          </a:xfrm>
          <a:prstGeom prst="round2SameRect">
            <a:avLst>
              <a:gd name="adj1" fmla="val 4457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cap="all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cap="all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 - Auto Renewal or not Auto Renewal</a:t>
            </a:r>
            <a:endParaRPr lang="pt-BR" sz="1100" cap="all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571500</xdr:colOff>
      <xdr:row>0</xdr:row>
      <xdr:rowOff>76200</xdr:rowOff>
    </xdr:from>
    <xdr:to>
      <xdr:col>0</xdr:col>
      <xdr:colOff>1266825</xdr:colOff>
      <xdr:row>2</xdr:row>
      <xdr:rowOff>62865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1BCA5FAB-944F-4790-A379-BB2A5C75097F}"/>
            </a:ext>
          </a:extLst>
        </xdr:cNvPr>
        <xdr:cNvSpPr/>
      </xdr:nvSpPr>
      <xdr:spPr>
        <a:xfrm>
          <a:off x="571500" y="7620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76200</xdr:colOff>
      <xdr:row>2</xdr:row>
      <xdr:rowOff>190500</xdr:rowOff>
    </xdr:from>
    <xdr:to>
      <xdr:col>0</xdr:col>
      <xdr:colOff>1847850</xdr:colOff>
      <xdr:row>5</xdr:row>
      <xdr:rowOff>19050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A6AAD9CF-3991-D259-964D-FCE53C16199B}"/>
            </a:ext>
          </a:extLst>
        </xdr:cNvPr>
        <xdr:cNvSpPr/>
      </xdr:nvSpPr>
      <xdr:spPr>
        <a:xfrm>
          <a:off x="76200" y="866775"/>
          <a:ext cx="17716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/>
            <a:t>-&gt; Bem</a:t>
          </a:r>
          <a:r>
            <a:rPr lang="pt-BR" sz="1200" baseline="0"/>
            <a:t> vinda, Kassia</a:t>
          </a:r>
          <a:endParaRPr lang="pt-BR" sz="1200"/>
        </a:p>
      </xdr:txBody>
    </xdr:sp>
    <xdr:clientData/>
  </xdr:twoCellAnchor>
  <xdr:twoCellAnchor>
    <xdr:from>
      <xdr:col>2</xdr:col>
      <xdr:colOff>9525</xdr:colOff>
      <xdr:row>3</xdr:row>
      <xdr:rowOff>57151</xdr:rowOff>
    </xdr:from>
    <xdr:to>
      <xdr:col>10</xdr:col>
      <xdr:colOff>314325</xdr:colOff>
      <xdr:row>5</xdr:row>
      <xdr:rowOff>57151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316FA5B2-6E5C-4950-BBD9-E9AC04C1484A}"/>
            </a:ext>
          </a:extLst>
        </xdr:cNvPr>
        <xdr:cNvSpPr/>
      </xdr:nvSpPr>
      <xdr:spPr>
        <a:xfrm>
          <a:off x="2181225" y="933451"/>
          <a:ext cx="51816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Calculation Period: 01/01/2024 - 31/12/2024 | Update date: 14/10/2026 15:30:00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sia Silva" refreshedDate="46309.550129861113" createdVersion="8" refreshedVersion="8" minRefreshableVersion="3" recordCount="295" xr:uid="{E8CA07B6-1FED-41DE-9E1C-3EB7C528559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414946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s v="Yes"/>
    <n v="20"/>
    <n v="5"/>
    <n v="60"/>
  </r>
  <r>
    <n v="3232"/>
    <s v="Maria Oliveira"/>
    <x v="1"/>
    <d v="2024-01-15T00:00:00"/>
    <x v="1"/>
    <n v="5"/>
    <x v="1"/>
    <x v="1"/>
    <s v="-"/>
    <s v="No"/>
    <n v="0"/>
    <n v="0"/>
    <n v="5"/>
  </r>
  <r>
    <n v="3233"/>
    <s v="Lucas Fernandes"/>
    <x v="2"/>
    <d v="2024-02-10T00:00:00"/>
    <x v="0"/>
    <n v="10"/>
    <x v="2"/>
    <x v="1"/>
    <s v="-"/>
    <s v="Yes"/>
    <n v="20"/>
    <n v="10"/>
    <n v="20"/>
  </r>
  <r>
    <n v="3234"/>
    <s v="Ana Souza"/>
    <x v="0"/>
    <d v="2024-02-20T00:00:00"/>
    <x v="1"/>
    <n v="15"/>
    <x v="0"/>
    <x v="0"/>
    <n v="30"/>
    <s v="Yes"/>
    <n v="20"/>
    <n v="3"/>
    <n v="62"/>
  </r>
  <r>
    <n v="3235"/>
    <s v="Pedro Gonçalves"/>
    <x v="1"/>
    <d v="2024-03-05T00:00:00"/>
    <x v="0"/>
    <n v="5"/>
    <x v="0"/>
    <x v="1"/>
    <s v="-"/>
    <s v="No"/>
    <n v="0"/>
    <n v="1"/>
    <n v="4"/>
  </r>
  <r>
    <n v="3236"/>
    <s v="Felipe Costa"/>
    <x v="2"/>
    <d v="2024-03-02T00:00:00"/>
    <x v="1"/>
    <n v="10"/>
    <x v="0"/>
    <x v="1"/>
    <s v="-"/>
    <s v="Yes"/>
    <n v="20"/>
    <n v="2"/>
    <n v="28"/>
  </r>
  <r>
    <n v="3237"/>
    <s v="Camila Ribeiro"/>
    <x v="0"/>
    <d v="2024-03-03T00:00:00"/>
    <x v="0"/>
    <n v="15"/>
    <x v="2"/>
    <x v="0"/>
    <n v="30"/>
    <s v="Yes"/>
    <n v="20"/>
    <n v="10"/>
    <n v="55"/>
  </r>
  <r>
    <n v="3238"/>
    <s v="André Mendes"/>
    <x v="1"/>
    <d v="2024-03-04T00:00:00"/>
    <x v="0"/>
    <n v="5"/>
    <x v="1"/>
    <x v="1"/>
    <s v="-"/>
    <s v="No"/>
    <n v="0"/>
    <n v="0"/>
    <n v="5"/>
  </r>
  <r>
    <n v="3239"/>
    <s v="Sofia Almeida"/>
    <x v="0"/>
    <d v="2024-03-05T00:00:00"/>
    <x v="1"/>
    <n v="15"/>
    <x v="0"/>
    <x v="0"/>
    <n v="30"/>
    <s v="Yes"/>
    <n v="20"/>
    <n v="5"/>
    <n v="60"/>
  </r>
  <r>
    <n v="3240"/>
    <s v="Bruno Martins"/>
    <x v="2"/>
    <d v="2024-03-06T00:00:00"/>
    <x v="0"/>
    <n v="10"/>
    <x v="2"/>
    <x v="1"/>
    <s v="-"/>
    <s v="Yes"/>
    <n v="20"/>
    <n v="15"/>
    <n v="15"/>
  </r>
  <r>
    <n v="3241"/>
    <s v="Rita Castro"/>
    <x v="1"/>
    <d v="2024-03-07T00:00:00"/>
    <x v="1"/>
    <n v="5"/>
    <x v="0"/>
    <x v="1"/>
    <s v="-"/>
    <s v="No"/>
    <n v="0"/>
    <n v="1"/>
    <n v="4"/>
  </r>
  <r>
    <n v="3242"/>
    <s v="Marco Túlio"/>
    <x v="0"/>
    <d v="2024-03-08T00:00:00"/>
    <x v="0"/>
    <n v="15"/>
    <x v="1"/>
    <x v="0"/>
    <n v="30"/>
    <s v="Yes"/>
    <n v="20"/>
    <n v="20"/>
    <n v="45"/>
  </r>
  <r>
    <n v="3243"/>
    <s v="Lívia Silveira"/>
    <x v="2"/>
    <d v="2024-03-09T00:00:00"/>
    <x v="1"/>
    <n v="10"/>
    <x v="0"/>
    <x v="1"/>
    <s v="-"/>
    <s v="Yes"/>
    <n v="20"/>
    <n v="10"/>
    <n v="20"/>
  </r>
  <r>
    <n v="3244"/>
    <s v="Diogo Sousa"/>
    <x v="1"/>
    <d v="2024-03-10T00:00:00"/>
    <x v="0"/>
    <n v="5"/>
    <x v="2"/>
    <x v="1"/>
    <s v="-"/>
    <s v="No"/>
    <n v="0"/>
    <n v="0"/>
    <n v="5"/>
  </r>
  <r>
    <n v="3245"/>
    <s v="Fernanda Lima"/>
    <x v="0"/>
    <d v="2024-03-11T00:00:00"/>
    <x v="1"/>
    <n v="15"/>
    <x v="0"/>
    <x v="0"/>
    <n v="30"/>
    <s v="Yes"/>
    <n v="20"/>
    <n v="8"/>
    <n v="57"/>
  </r>
  <r>
    <n v="3246"/>
    <s v="Caio Pereira"/>
    <x v="2"/>
    <d v="2024-03-12T00:00:00"/>
    <x v="0"/>
    <n v="10"/>
    <x v="1"/>
    <x v="1"/>
    <s v="-"/>
    <s v="Yes"/>
    <n v="20"/>
    <n v="12"/>
    <n v="18"/>
  </r>
  <r>
    <n v="3247"/>
    <s v="Beatriz Gomes"/>
    <x v="1"/>
    <d v="2024-03-13T00:00:00"/>
    <x v="1"/>
    <n v="5"/>
    <x v="0"/>
    <x v="1"/>
    <s v="-"/>
    <s v="No"/>
    <n v="0"/>
    <n v="2"/>
    <n v="3"/>
  </r>
  <r>
    <n v="3248"/>
    <s v="Cesar Oliveira"/>
    <x v="0"/>
    <d v="2024-03-14T00:00:00"/>
    <x v="0"/>
    <n v="15"/>
    <x v="2"/>
    <x v="0"/>
    <n v="30"/>
    <s v="Yes"/>
    <n v="20"/>
    <n v="7"/>
    <n v="58"/>
  </r>
  <r>
    <n v="3249"/>
    <s v="Débora Machado"/>
    <x v="2"/>
    <d v="2024-03-15T00:00:00"/>
    <x v="1"/>
    <n v="10"/>
    <x v="0"/>
    <x v="1"/>
    <s v="-"/>
    <s v="Yes"/>
    <n v="20"/>
    <n v="5"/>
    <n v="25"/>
  </r>
  <r>
    <n v="3250"/>
    <s v="Eduardo Vargas"/>
    <x v="1"/>
    <d v="2024-03-16T00:00:00"/>
    <x v="0"/>
    <n v="5"/>
    <x v="1"/>
    <x v="1"/>
    <s v="-"/>
    <s v="No"/>
    <n v="0"/>
    <n v="0"/>
    <n v="5"/>
  </r>
  <r>
    <n v="3251"/>
    <s v="Gabriela Santos"/>
    <x v="0"/>
    <d v="2024-03-17T00:00:00"/>
    <x v="1"/>
    <n v="15"/>
    <x v="0"/>
    <x v="0"/>
    <n v="30"/>
    <s v="Yes"/>
    <n v="20"/>
    <n v="3"/>
    <n v="62"/>
  </r>
  <r>
    <n v="3252"/>
    <s v="Henrique Dias"/>
    <x v="2"/>
    <d v="2024-03-18T00:00:00"/>
    <x v="0"/>
    <n v="10"/>
    <x v="2"/>
    <x v="1"/>
    <s v="-"/>
    <s v="Yes"/>
    <n v="20"/>
    <n v="15"/>
    <n v="15"/>
  </r>
  <r>
    <n v="3253"/>
    <s v="Isabela Moreira"/>
    <x v="1"/>
    <d v="2024-03-19T00:00:00"/>
    <x v="1"/>
    <n v="5"/>
    <x v="0"/>
    <x v="1"/>
    <s v="-"/>
    <s v="No"/>
    <n v="0"/>
    <n v="1"/>
    <n v="4"/>
  </r>
  <r>
    <n v="3254"/>
    <s v="Joaquim Barbosa"/>
    <x v="0"/>
    <d v="2024-03-20T00:00:00"/>
    <x v="0"/>
    <n v="15"/>
    <x v="1"/>
    <x v="0"/>
    <n v="30"/>
    <s v="Yes"/>
    <n v="20"/>
    <n v="20"/>
    <n v="45"/>
  </r>
  <r>
    <n v="3255"/>
    <s v="Lara Rocha"/>
    <x v="2"/>
    <d v="2024-03-21T00:00:00"/>
    <x v="1"/>
    <n v="10"/>
    <x v="0"/>
    <x v="1"/>
    <s v="-"/>
    <s v="Yes"/>
    <n v="20"/>
    <n v="10"/>
    <n v="20"/>
  </r>
  <r>
    <n v="3256"/>
    <s v="Matheus Silva"/>
    <x v="1"/>
    <d v="2024-03-22T00:00:00"/>
    <x v="0"/>
    <n v="5"/>
    <x v="2"/>
    <x v="1"/>
    <s v="-"/>
    <s v="No"/>
    <n v="0"/>
    <n v="0"/>
    <n v="5"/>
  </r>
  <r>
    <n v="3257"/>
    <s v="Nicole Costa"/>
    <x v="0"/>
    <d v="2024-03-23T00:00:00"/>
    <x v="1"/>
    <n v="15"/>
    <x v="0"/>
    <x v="0"/>
    <n v="30"/>
    <s v="Yes"/>
    <n v="20"/>
    <n v="5"/>
    <n v="60"/>
  </r>
  <r>
    <n v="3258"/>
    <s v="Otávio Mendonça"/>
    <x v="2"/>
    <d v="2024-03-24T00:00:00"/>
    <x v="0"/>
    <n v="10"/>
    <x v="1"/>
    <x v="1"/>
    <s v="-"/>
    <s v="Yes"/>
    <n v="20"/>
    <n v="15"/>
    <n v="15"/>
  </r>
  <r>
    <n v="3259"/>
    <s v="Paula Ferreira"/>
    <x v="1"/>
    <d v="2024-03-25T00:00:00"/>
    <x v="1"/>
    <n v="5"/>
    <x v="0"/>
    <x v="1"/>
    <s v="-"/>
    <s v="No"/>
    <n v="0"/>
    <n v="1"/>
    <n v="4"/>
  </r>
  <r>
    <n v="3260"/>
    <s v="Raquel Alves"/>
    <x v="0"/>
    <d v="2024-03-26T00:00:00"/>
    <x v="0"/>
    <n v="15"/>
    <x v="2"/>
    <x v="0"/>
    <n v="30"/>
    <s v="Yes"/>
    <n v="20"/>
    <n v="7"/>
    <n v="58"/>
  </r>
  <r>
    <n v="3261"/>
    <s v="Samuel Pires"/>
    <x v="2"/>
    <d v="2024-03-27T00:00:00"/>
    <x v="1"/>
    <n v="10"/>
    <x v="0"/>
    <x v="1"/>
    <s v="-"/>
    <s v="Yes"/>
    <n v="20"/>
    <n v="10"/>
    <n v="20"/>
  </r>
  <r>
    <n v="3262"/>
    <s v="Tânia Barros"/>
    <x v="1"/>
    <d v="2024-03-28T00:00:00"/>
    <x v="0"/>
    <n v="5"/>
    <x v="1"/>
    <x v="1"/>
    <s v="-"/>
    <s v="No"/>
    <n v="0"/>
    <n v="0"/>
    <n v="5"/>
  </r>
  <r>
    <n v="3263"/>
    <s v="Vinicius Lima"/>
    <x v="0"/>
    <d v="2024-03-29T00:00:00"/>
    <x v="1"/>
    <n v="15"/>
    <x v="0"/>
    <x v="0"/>
    <n v="30"/>
    <s v="Yes"/>
    <n v="20"/>
    <n v="3"/>
    <n v="62"/>
  </r>
  <r>
    <n v="3264"/>
    <s v="Yasmin Teixeira"/>
    <x v="2"/>
    <d v="2024-03-30T00:00:00"/>
    <x v="0"/>
    <n v="10"/>
    <x v="2"/>
    <x v="1"/>
    <s v="-"/>
    <s v="Yes"/>
    <n v="20"/>
    <n v="15"/>
    <n v="15"/>
  </r>
  <r>
    <n v="3265"/>
    <s v="Zé Carlos"/>
    <x v="1"/>
    <d v="2024-03-31T00:00:00"/>
    <x v="1"/>
    <n v="5"/>
    <x v="0"/>
    <x v="1"/>
    <s v="-"/>
    <s v="No"/>
    <n v="0"/>
    <n v="1"/>
    <n v="4"/>
  </r>
  <r>
    <n v="3266"/>
    <s v="Amanda Nogueira"/>
    <x v="1"/>
    <d v="2024-04-01T00:00:00"/>
    <x v="0"/>
    <n v="5"/>
    <x v="0"/>
    <x v="1"/>
    <s v="-"/>
    <s v="No"/>
    <n v="0"/>
    <n v="0"/>
    <n v="5"/>
  </r>
  <r>
    <n v="3267"/>
    <s v="Bruno Cavalheiro"/>
    <x v="0"/>
    <d v="2024-04-02T00:00:00"/>
    <x v="1"/>
    <n v="15"/>
    <x v="2"/>
    <x v="0"/>
    <n v="30"/>
    <s v="Yes"/>
    <n v="20"/>
    <n v="7"/>
    <n v="58"/>
  </r>
  <r>
    <n v="3268"/>
    <s v="Carla Dias"/>
    <x v="2"/>
    <d v="2024-04-03T00:00:00"/>
    <x v="0"/>
    <n v="10"/>
    <x v="1"/>
    <x v="1"/>
    <s v="-"/>
    <s v="Yes"/>
    <n v="20"/>
    <n v="10"/>
    <n v="20"/>
  </r>
  <r>
    <n v="3269"/>
    <s v="Diego Fontes"/>
    <x v="1"/>
    <d v="2024-04-04T00:00:00"/>
    <x v="1"/>
    <n v="5"/>
    <x v="2"/>
    <x v="1"/>
    <s v="-"/>
    <s v="No"/>
    <n v="0"/>
    <n v="1"/>
    <n v="4"/>
  </r>
  <r>
    <n v="3270"/>
    <s v="Eunice Lima"/>
    <x v="0"/>
    <d v="2024-04-05T00:00:00"/>
    <x v="0"/>
    <n v="15"/>
    <x v="0"/>
    <x v="0"/>
    <n v="30"/>
    <s v="Yes"/>
    <n v="20"/>
    <n v="15"/>
    <n v="50"/>
  </r>
  <r>
    <n v="3271"/>
    <s v="Fábio Martins"/>
    <x v="2"/>
    <d v="2024-04-06T00:00:00"/>
    <x v="1"/>
    <n v="10"/>
    <x v="0"/>
    <x v="1"/>
    <s v="-"/>
    <s v="Yes"/>
    <n v="20"/>
    <n v="5"/>
    <n v="25"/>
  </r>
  <r>
    <n v="3272"/>
    <s v="Gisele Araújo"/>
    <x v="1"/>
    <d v="2024-04-07T00:00:00"/>
    <x v="0"/>
    <n v="5"/>
    <x v="1"/>
    <x v="1"/>
    <s v="-"/>
    <s v="No"/>
    <n v="0"/>
    <n v="0"/>
    <n v="5"/>
  </r>
  <r>
    <n v="3273"/>
    <s v="Hélio Castro"/>
    <x v="0"/>
    <d v="2024-04-08T00:00:00"/>
    <x v="1"/>
    <n v="15"/>
    <x v="2"/>
    <x v="0"/>
    <n v="30"/>
    <s v="Yes"/>
    <n v="20"/>
    <n v="20"/>
    <n v="45"/>
  </r>
  <r>
    <n v="3274"/>
    <s v="Ingrid Menezes"/>
    <x v="2"/>
    <d v="2024-04-09T00:00:00"/>
    <x v="0"/>
    <n v="10"/>
    <x v="2"/>
    <x v="1"/>
    <s v="-"/>
    <s v="Yes"/>
    <n v="20"/>
    <n v="12"/>
    <n v="18"/>
  </r>
  <r>
    <n v="3275"/>
    <s v="Jorge Baptista"/>
    <x v="1"/>
    <d v="2024-04-10T00:00:00"/>
    <x v="1"/>
    <n v="5"/>
    <x v="0"/>
    <x v="1"/>
    <s v="-"/>
    <s v="No"/>
    <n v="0"/>
    <n v="2"/>
    <n v="3"/>
  </r>
  <r>
    <n v="3276"/>
    <s v="Kléber Oliveira"/>
    <x v="0"/>
    <d v="2024-04-11T00:00:00"/>
    <x v="0"/>
    <n v="15"/>
    <x v="1"/>
    <x v="0"/>
    <n v="30"/>
    <s v="Yes"/>
    <n v="20"/>
    <n v="5"/>
    <n v="60"/>
  </r>
  <r>
    <n v="3277"/>
    <s v="Luciana Freitas"/>
    <x v="2"/>
    <d v="2024-04-12T00:00:00"/>
    <x v="1"/>
    <n v="10"/>
    <x v="0"/>
    <x v="1"/>
    <s v="-"/>
    <s v="Yes"/>
    <n v="20"/>
    <n v="10"/>
    <n v="20"/>
  </r>
  <r>
    <n v="3278"/>
    <s v="Márcia Eller"/>
    <x v="1"/>
    <d v="2024-04-13T00:00:00"/>
    <x v="0"/>
    <n v="5"/>
    <x v="2"/>
    <x v="1"/>
    <s v="-"/>
    <s v="No"/>
    <n v="0"/>
    <n v="0"/>
    <n v="5"/>
  </r>
  <r>
    <n v="3279"/>
    <s v="Nilo Peçanha"/>
    <x v="0"/>
    <d v="2024-04-14T00:00:00"/>
    <x v="1"/>
    <n v="15"/>
    <x v="0"/>
    <x v="0"/>
    <n v="30"/>
    <s v="Yes"/>
    <n v="20"/>
    <n v="3"/>
    <n v="62"/>
  </r>
  <r>
    <n v="3280"/>
    <s v="Oscar Neves"/>
    <x v="2"/>
    <d v="2024-04-15T00:00:00"/>
    <x v="0"/>
    <n v="10"/>
    <x v="1"/>
    <x v="1"/>
    <s v="-"/>
    <s v="Yes"/>
    <n v="20"/>
    <n v="15"/>
    <n v="15"/>
  </r>
  <r>
    <n v="3281"/>
    <s v="Patrícia Soares"/>
    <x v="1"/>
    <d v="2024-04-16T00:00:00"/>
    <x v="1"/>
    <n v="5"/>
    <x v="0"/>
    <x v="1"/>
    <s v="-"/>
    <s v="No"/>
    <n v="0"/>
    <n v="1"/>
    <n v="4"/>
  </r>
  <r>
    <n v="3282"/>
    <s v="Quirino Gonçalves"/>
    <x v="0"/>
    <d v="2024-04-17T00:00:00"/>
    <x v="0"/>
    <n v="15"/>
    <x v="2"/>
    <x v="0"/>
    <n v="30"/>
    <s v="Yes"/>
    <n v="20"/>
    <n v="7"/>
    <n v="58"/>
  </r>
  <r>
    <n v="3283"/>
    <s v="Raul Machado"/>
    <x v="2"/>
    <d v="2024-04-18T00:00:00"/>
    <x v="1"/>
    <n v="10"/>
    <x v="0"/>
    <x v="1"/>
    <s v="-"/>
    <s v="Yes"/>
    <n v="20"/>
    <n v="10"/>
    <n v="20"/>
  </r>
  <r>
    <n v="3284"/>
    <s v="Sônia Lobo"/>
    <x v="1"/>
    <d v="2024-04-19T00:00:00"/>
    <x v="0"/>
    <n v="5"/>
    <x v="1"/>
    <x v="1"/>
    <s v="-"/>
    <s v="No"/>
    <n v="0"/>
    <n v="0"/>
    <n v="5"/>
  </r>
  <r>
    <n v="3285"/>
    <s v="Tiago Ramos"/>
    <x v="0"/>
    <d v="2024-04-20T00:00:00"/>
    <x v="1"/>
    <n v="15"/>
    <x v="0"/>
    <x v="0"/>
    <n v="30"/>
    <s v="Yes"/>
    <n v="20"/>
    <n v="20"/>
    <n v="45"/>
  </r>
  <r>
    <n v="3286"/>
    <s v="Ugo Pires"/>
    <x v="2"/>
    <d v="2024-04-21T00:00:00"/>
    <x v="0"/>
    <n v="10"/>
    <x v="2"/>
    <x v="1"/>
    <s v="-"/>
    <s v="Yes"/>
    <n v="20"/>
    <n v="15"/>
    <n v="15"/>
  </r>
  <r>
    <n v="3287"/>
    <s v="Valéria Nobre"/>
    <x v="1"/>
    <d v="2024-04-22T00:00:00"/>
    <x v="1"/>
    <n v="5"/>
    <x v="0"/>
    <x v="1"/>
    <s v="-"/>
    <s v="No"/>
    <n v="0"/>
    <n v="1"/>
    <n v="4"/>
  </r>
  <r>
    <n v="3288"/>
    <s v="William Siqueira"/>
    <x v="0"/>
    <d v="2024-04-23T00:00:00"/>
    <x v="0"/>
    <n v="15"/>
    <x v="1"/>
    <x v="0"/>
    <n v="30"/>
    <s v="Yes"/>
    <n v="20"/>
    <n v="3"/>
    <n v="62"/>
  </r>
  <r>
    <n v="3289"/>
    <s v="Xuxa Meneghel"/>
    <x v="2"/>
    <d v="2024-04-24T00:00:00"/>
    <x v="1"/>
    <n v="10"/>
    <x v="0"/>
    <x v="1"/>
    <s v="-"/>
    <s v="Yes"/>
    <n v="20"/>
    <n v="10"/>
    <n v="20"/>
  </r>
  <r>
    <n v="3290"/>
    <s v="Yara Figueiredo"/>
    <x v="1"/>
    <d v="2024-04-25T00:00:00"/>
    <x v="0"/>
    <n v="5"/>
    <x v="2"/>
    <x v="1"/>
    <s v="-"/>
    <s v="No"/>
    <n v="0"/>
    <n v="0"/>
    <n v="5"/>
  </r>
  <r>
    <n v="3291"/>
    <s v="Zacarias Alves"/>
    <x v="0"/>
    <d v="2024-04-26T00:00:00"/>
    <x v="1"/>
    <n v="15"/>
    <x v="0"/>
    <x v="0"/>
    <n v="30"/>
    <s v="Yes"/>
    <n v="20"/>
    <n v="5"/>
    <n v="60"/>
  </r>
  <r>
    <n v="3292"/>
    <s v="Amanda Bynes"/>
    <x v="2"/>
    <d v="2024-04-27T00:00:00"/>
    <x v="0"/>
    <n v="10"/>
    <x v="1"/>
    <x v="1"/>
    <s v="-"/>
    <s v="Yes"/>
    <n v="20"/>
    <n v="15"/>
    <n v="15"/>
  </r>
  <r>
    <n v="3293"/>
    <s v="Bruno Mars"/>
    <x v="1"/>
    <d v="2024-04-28T00:00:00"/>
    <x v="1"/>
    <n v="5"/>
    <x v="0"/>
    <x v="1"/>
    <s v="-"/>
    <s v="No"/>
    <n v="0"/>
    <n v="1"/>
    <n v="4"/>
  </r>
  <r>
    <n v="3294"/>
    <s v="Carla Bruni"/>
    <x v="0"/>
    <d v="2024-04-29T00:00:00"/>
    <x v="0"/>
    <n v="15"/>
    <x v="2"/>
    <x v="0"/>
    <n v="30"/>
    <s v="Yes"/>
    <n v="20"/>
    <n v="20"/>
    <n v="45"/>
  </r>
  <r>
    <n v="3295"/>
    <s v="Diego Maradona"/>
    <x v="2"/>
    <d v="2024-04-30T00:00:00"/>
    <x v="1"/>
    <n v="10"/>
    <x v="0"/>
    <x v="1"/>
    <s v="-"/>
    <s v="Yes"/>
    <n v="20"/>
    <n v="5"/>
    <n v="25"/>
  </r>
  <r>
    <n v="3296"/>
    <s v="Estela Marques"/>
    <x v="1"/>
    <d v="2024-05-01T00:00:00"/>
    <x v="1"/>
    <n v="5"/>
    <x v="0"/>
    <x v="1"/>
    <s v="-"/>
    <s v="No"/>
    <n v="0"/>
    <n v="0"/>
    <n v="5"/>
  </r>
  <r>
    <n v="3297"/>
    <s v="Fábio Nobre"/>
    <x v="0"/>
    <d v="2024-05-02T00:00:00"/>
    <x v="0"/>
    <n v="15"/>
    <x v="2"/>
    <x v="0"/>
    <n v="30"/>
    <s v="Yes"/>
    <n v="20"/>
    <n v="7"/>
    <n v="58"/>
  </r>
  <r>
    <n v="3298"/>
    <s v="Gabriel Oliveira"/>
    <x v="2"/>
    <d v="2024-05-03T00:00:00"/>
    <x v="1"/>
    <n v="10"/>
    <x v="1"/>
    <x v="1"/>
    <s v="-"/>
    <s v="Yes"/>
    <n v="20"/>
    <n v="10"/>
    <n v="20"/>
  </r>
  <r>
    <n v="3299"/>
    <s v="Helena Santos"/>
    <x v="1"/>
    <d v="2024-05-04T00:00:00"/>
    <x v="0"/>
    <n v="5"/>
    <x v="2"/>
    <x v="1"/>
    <s v="-"/>
    <s v="No"/>
    <n v="0"/>
    <n v="1"/>
    <n v="4"/>
  </r>
  <r>
    <n v="3300"/>
    <s v="Ivan Carvalho"/>
    <x v="0"/>
    <d v="2024-05-05T00:00:00"/>
    <x v="1"/>
    <n v="15"/>
    <x v="0"/>
    <x v="0"/>
    <n v="30"/>
    <s v="Yes"/>
    <n v="20"/>
    <n v="15"/>
    <n v="50"/>
  </r>
  <r>
    <n v="3301"/>
    <s v="Júlia Ferreira"/>
    <x v="2"/>
    <d v="2024-05-06T00:00:00"/>
    <x v="0"/>
    <n v="10"/>
    <x v="0"/>
    <x v="1"/>
    <s v="-"/>
    <s v="Yes"/>
    <n v="20"/>
    <n v="5"/>
    <n v="25"/>
  </r>
  <r>
    <n v="3302"/>
    <s v="Karla Alves"/>
    <x v="1"/>
    <d v="2024-05-07T00:00:00"/>
    <x v="1"/>
    <n v="5"/>
    <x v="1"/>
    <x v="1"/>
    <s v="-"/>
    <s v="No"/>
    <n v="0"/>
    <n v="0"/>
    <n v="5"/>
  </r>
  <r>
    <n v="3303"/>
    <s v="Lucas Mendes"/>
    <x v="0"/>
    <d v="2024-05-08T00:00:00"/>
    <x v="0"/>
    <n v="15"/>
    <x v="2"/>
    <x v="0"/>
    <n v="30"/>
    <s v="Yes"/>
    <n v="20"/>
    <n v="20"/>
    <n v="45"/>
  </r>
  <r>
    <n v="3304"/>
    <s v="Mônica Gomes"/>
    <x v="2"/>
    <d v="2024-05-09T00:00:00"/>
    <x v="1"/>
    <n v="10"/>
    <x v="2"/>
    <x v="1"/>
    <s v="-"/>
    <s v="Yes"/>
    <n v="20"/>
    <n v="12"/>
    <n v="18"/>
  </r>
  <r>
    <n v="3305"/>
    <s v="Norberto Queiroz"/>
    <x v="1"/>
    <d v="2024-05-10T00:00:00"/>
    <x v="0"/>
    <n v="5"/>
    <x v="0"/>
    <x v="1"/>
    <s v="-"/>
    <s v="No"/>
    <n v="0"/>
    <n v="2"/>
    <n v="3"/>
  </r>
  <r>
    <n v="3306"/>
    <s v="Otávio Barros"/>
    <x v="0"/>
    <d v="2024-05-11T00:00:00"/>
    <x v="1"/>
    <n v="15"/>
    <x v="1"/>
    <x v="0"/>
    <n v="30"/>
    <s v="Yes"/>
    <n v="20"/>
    <n v="5"/>
    <n v="60"/>
  </r>
  <r>
    <n v="3307"/>
    <s v="Paula Vieira"/>
    <x v="2"/>
    <d v="2024-05-12T00:00:00"/>
    <x v="0"/>
    <n v="10"/>
    <x v="0"/>
    <x v="1"/>
    <s v="-"/>
    <s v="Yes"/>
    <n v="20"/>
    <n v="10"/>
    <n v="20"/>
  </r>
  <r>
    <n v="3308"/>
    <s v="Quentin Ramos"/>
    <x v="1"/>
    <d v="2024-05-13T00:00:00"/>
    <x v="1"/>
    <n v="5"/>
    <x v="2"/>
    <x v="1"/>
    <s v="-"/>
    <s v="No"/>
    <n v="0"/>
    <n v="0"/>
    <n v="5"/>
  </r>
  <r>
    <n v="3309"/>
    <s v="Raquel Novaes"/>
    <x v="0"/>
    <d v="2024-05-14T00:00:00"/>
    <x v="0"/>
    <n v="15"/>
    <x v="0"/>
    <x v="0"/>
    <n v="30"/>
    <s v="Yes"/>
    <n v="20"/>
    <n v="3"/>
    <n v="62"/>
  </r>
  <r>
    <n v="3310"/>
    <s v="Samantha Lopes"/>
    <x v="2"/>
    <d v="2024-05-15T00:00:00"/>
    <x v="1"/>
    <n v="10"/>
    <x v="1"/>
    <x v="1"/>
    <s v="-"/>
    <s v="Yes"/>
    <n v="20"/>
    <n v="15"/>
    <n v="15"/>
  </r>
  <r>
    <n v="3311"/>
    <s v="Tiago Martins"/>
    <x v="1"/>
    <d v="2024-05-16T00:00:00"/>
    <x v="0"/>
    <n v="5"/>
    <x v="0"/>
    <x v="1"/>
    <s v="-"/>
    <s v="No"/>
    <n v="0"/>
    <n v="1"/>
    <n v="4"/>
  </r>
  <r>
    <n v="3312"/>
    <s v="Ulysses Guimarães"/>
    <x v="0"/>
    <d v="2024-05-17T00:00:00"/>
    <x v="1"/>
    <n v="15"/>
    <x v="2"/>
    <x v="0"/>
    <n v="30"/>
    <s v="Yes"/>
    <n v="20"/>
    <n v="7"/>
    <n v="58"/>
  </r>
  <r>
    <n v="3313"/>
    <s v="Vanessa Silva"/>
    <x v="2"/>
    <d v="2024-05-18T00:00:00"/>
    <x v="0"/>
    <n v="10"/>
    <x v="0"/>
    <x v="1"/>
    <s v="-"/>
    <s v="Yes"/>
    <n v="20"/>
    <n v="10"/>
    <n v="20"/>
  </r>
  <r>
    <n v="3314"/>
    <s v="William Carneiro"/>
    <x v="1"/>
    <d v="2024-05-19T00:00:00"/>
    <x v="1"/>
    <n v="5"/>
    <x v="1"/>
    <x v="1"/>
    <s v="-"/>
    <s v="No"/>
    <n v="0"/>
    <n v="0"/>
    <n v="5"/>
  </r>
  <r>
    <n v="3315"/>
    <s v="Ximena Rocha"/>
    <x v="0"/>
    <d v="2024-05-20T00:00:00"/>
    <x v="0"/>
    <n v="15"/>
    <x v="0"/>
    <x v="0"/>
    <n v="30"/>
    <s v="Yes"/>
    <n v="20"/>
    <n v="20"/>
    <n v="45"/>
  </r>
  <r>
    <n v="3316"/>
    <s v="Yasmin Figueiredo"/>
    <x v="2"/>
    <d v="2024-05-21T00:00:00"/>
    <x v="1"/>
    <n v="10"/>
    <x v="2"/>
    <x v="1"/>
    <s v="-"/>
    <s v="Yes"/>
    <n v="20"/>
    <n v="15"/>
    <n v="15"/>
  </r>
  <r>
    <n v="3317"/>
    <s v="Zara Cunha"/>
    <x v="1"/>
    <d v="2024-05-22T00:00:00"/>
    <x v="0"/>
    <n v="5"/>
    <x v="0"/>
    <x v="1"/>
    <s v="-"/>
    <s v="No"/>
    <n v="0"/>
    <n v="1"/>
    <n v="4"/>
  </r>
  <r>
    <n v="3318"/>
    <s v="Alan Teixeira"/>
    <x v="0"/>
    <d v="2024-05-23T00:00:00"/>
    <x v="1"/>
    <n v="15"/>
    <x v="1"/>
    <x v="0"/>
    <n v="30"/>
    <s v="Yes"/>
    <n v="20"/>
    <n v="3"/>
    <n v="62"/>
  </r>
  <r>
    <n v="3319"/>
    <s v="Bárbara Oliveira"/>
    <x v="2"/>
    <d v="2024-05-24T00:00:00"/>
    <x v="0"/>
    <n v="10"/>
    <x v="0"/>
    <x v="1"/>
    <s v="-"/>
    <s v="Yes"/>
    <n v="20"/>
    <n v="10"/>
    <n v="20"/>
  </r>
  <r>
    <n v="3320"/>
    <s v="Carlos Junqueira"/>
    <x v="1"/>
    <d v="2024-05-25T00:00:00"/>
    <x v="1"/>
    <n v="5"/>
    <x v="2"/>
    <x v="1"/>
    <s v="-"/>
    <s v="No"/>
    <n v="0"/>
    <n v="0"/>
    <n v="5"/>
  </r>
  <r>
    <n v="3321"/>
    <s v="Daniela Moura"/>
    <x v="0"/>
    <d v="2024-05-26T00:00:00"/>
    <x v="0"/>
    <n v="15"/>
    <x v="0"/>
    <x v="0"/>
    <n v="30"/>
    <s v="Yes"/>
    <n v="20"/>
    <n v="5"/>
    <n v="60"/>
  </r>
  <r>
    <n v="3322"/>
    <s v="Eduardo Lima"/>
    <x v="2"/>
    <d v="2024-05-27T00:00:00"/>
    <x v="1"/>
    <n v="10"/>
    <x v="1"/>
    <x v="1"/>
    <s v="-"/>
    <s v="Yes"/>
    <n v="20"/>
    <n v="15"/>
    <n v="15"/>
  </r>
  <r>
    <n v="3323"/>
    <s v="Fabiana Araújo"/>
    <x v="1"/>
    <d v="2024-05-28T00:00:00"/>
    <x v="0"/>
    <n v="5"/>
    <x v="0"/>
    <x v="1"/>
    <s v="-"/>
    <s v="No"/>
    <n v="0"/>
    <n v="1"/>
    <n v="4"/>
  </r>
  <r>
    <n v="3324"/>
    <s v="Geraldo Ribeiro"/>
    <x v="0"/>
    <d v="2024-05-29T00:00:00"/>
    <x v="1"/>
    <n v="15"/>
    <x v="2"/>
    <x v="0"/>
    <n v="30"/>
    <s v="Yes"/>
    <n v="20"/>
    <n v="20"/>
    <n v="45"/>
  </r>
  <r>
    <n v="3325"/>
    <s v="Héctor Vargas"/>
    <x v="2"/>
    <d v="2024-05-30T00:00:00"/>
    <x v="0"/>
    <n v="10"/>
    <x v="2"/>
    <x v="1"/>
    <s v="-"/>
    <s v="Yes"/>
    <n v="20"/>
    <n v="15"/>
    <n v="15"/>
  </r>
  <r>
    <n v="3326"/>
    <s v="Isabela Fonseca"/>
    <x v="1"/>
    <d v="2024-05-31T00:00:00"/>
    <x v="1"/>
    <n v="5"/>
    <x v="1"/>
    <x v="1"/>
    <s v="-"/>
    <s v="No"/>
    <n v="0"/>
    <n v="0"/>
    <n v="5"/>
  </r>
  <r>
    <n v="3327"/>
    <s v="João Pedro Almeida"/>
    <x v="0"/>
    <d v="2024-06-01T00:00:00"/>
    <x v="0"/>
    <n v="15"/>
    <x v="0"/>
    <x v="0"/>
    <n v="30"/>
    <s v="Yes"/>
    <n v="20"/>
    <n v="7"/>
    <n v="58"/>
  </r>
  <r>
    <n v="3328"/>
    <s v="Klara Costa"/>
    <x v="2"/>
    <d v="2024-06-02T00:00:00"/>
    <x v="1"/>
    <n v="10"/>
    <x v="1"/>
    <x v="1"/>
    <s v="-"/>
    <s v="Yes"/>
    <n v="20"/>
    <n v="10"/>
    <n v="20"/>
  </r>
  <r>
    <n v="3329"/>
    <s v="Luciana Mendes"/>
    <x v="1"/>
    <d v="2024-06-03T00:00:00"/>
    <x v="0"/>
    <n v="5"/>
    <x v="2"/>
    <x v="1"/>
    <s v="-"/>
    <s v="No"/>
    <n v="0"/>
    <n v="1"/>
    <n v="4"/>
  </r>
  <r>
    <n v="3330"/>
    <s v="Marcelo Gouveia"/>
    <x v="0"/>
    <d v="2024-06-04T00:00:00"/>
    <x v="1"/>
    <n v="15"/>
    <x v="0"/>
    <x v="0"/>
    <n v="30"/>
    <s v="Yes"/>
    <n v="20"/>
    <n v="15"/>
    <n v="50"/>
  </r>
  <r>
    <n v="3331"/>
    <s v="Nívea Borges"/>
    <x v="2"/>
    <d v="2024-06-05T00:00:00"/>
    <x v="0"/>
    <n v="10"/>
    <x v="0"/>
    <x v="1"/>
    <s v="-"/>
    <s v="Yes"/>
    <n v="20"/>
    <n v="5"/>
    <n v="25"/>
  </r>
  <r>
    <n v="3332"/>
    <s v="Oscar Nogueira"/>
    <x v="1"/>
    <d v="2024-06-06T00:00:00"/>
    <x v="1"/>
    <n v="5"/>
    <x v="1"/>
    <x v="1"/>
    <s v="-"/>
    <s v="No"/>
    <n v="0"/>
    <n v="0"/>
    <n v="5"/>
  </r>
  <r>
    <n v="3333"/>
    <s v="Patrícia Alves"/>
    <x v="0"/>
    <d v="2024-06-07T00:00:00"/>
    <x v="0"/>
    <n v="15"/>
    <x v="2"/>
    <x v="0"/>
    <n v="30"/>
    <s v="Yes"/>
    <n v="20"/>
    <n v="20"/>
    <n v="45"/>
  </r>
  <r>
    <n v="3334"/>
    <s v="Rafaela Silva"/>
    <x v="2"/>
    <d v="2024-06-08T00:00:00"/>
    <x v="1"/>
    <n v="10"/>
    <x v="2"/>
    <x v="1"/>
    <s v="-"/>
    <s v="Yes"/>
    <n v="20"/>
    <n v="12"/>
    <n v="18"/>
  </r>
  <r>
    <n v="3335"/>
    <s v="Samantha Moraes"/>
    <x v="1"/>
    <d v="2024-06-09T00:00:00"/>
    <x v="0"/>
    <n v="5"/>
    <x v="0"/>
    <x v="1"/>
    <s v="-"/>
    <s v="No"/>
    <n v="0"/>
    <n v="2"/>
    <n v="3"/>
  </r>
  <r>
    <n v="3336"/>
    <s v="Tatiana Rocha"/>
    <x v="1"/>
    <d v="2024-06-10T00:00:00"/>
    <x v="0"/>
    <n v="5"/>
    <x v="0"/>
    <x v="1"/>
    <s v="-"/>
    <s v="No"/>
    <n v="0"/>
    <n v="0"/>
    <n v="5"/>
  </r>
  <r>
    <n v="3337"/>
    <s v="Ulisses Tavares"/>
    <x v="0"/>
    <d v="2024-06-11T00:00:00"/>
    <x v="1"/>
    <n v="15"/>
    <x v="2"/>
    <x v="0"/>
    <n v="30"/>
    <s v="Yes"/>
    <n v="20"/>
    <n v="7"/>
    <n v="58"/>
  </r>
  <r>
    <n v="3338"/>
    <s v="Víctor Lemos"/>
    <x v="2"/>
    <d v="2024-06-12T00:00:00"/>
    <x v="0"/>
    <n v="10"/>
    <x v="1"/>
    <x v="1"/>
    <s v="-"/>
    <s v="Yes"/>
    <n v="20"/>
    <n v="10"/>
    <n v="20"/>
  </r>
  <r>
    <n v="3339"/>
    <s v="Wilma Barros"/>
    <x v="1"/>
    <d v="2024-06-13T00:00:00"/>
    <x v="1"/>
    <n v="5"/>
    <x v="2"/>
    <x v="1"/>
    <s v="-"/>
    <s v="No"/>
    <n v="0"/>
    <n v="1"/>
    <n v="4"/>
  </r>
  <r>
    <n v="3340"/>
    <s v="Xavier Nascimento"/>
    <x v="0"/>
    <d v="2024-06-14T00:00:00"/>
    <x v="0"/>
    <n v="15"/>
    <x v="0"/>
    <x v="0"/>
    <n v="30"/>
    <s v="Yes"/>
    <n v="20"/>
    <n v="15"/>
    <n v="50"/>
  </r>
  <r>
    <n v="3341"/>
    <s v="Yago Pereira"/>
    <x v="2"/>
    <d v="2024-06-15T00:00:00"/>
    <x v="1"/>
    <n v="10"/>
    <x v="0"/>
    <x v="1"/>
    <s v="-"/>
    <s v="Yes"/>
    <n v="20"/>
    <n v="5"/>
    <n v="25"/>
  </r>
  <r>
    <n v="3342"/>
    <s v="Zilda Ferreira"/>
    <x v="1"/>
    <d v="2024-06-16T00:00:00"/>
    <x v="0"/>
    <n v="5"/>
    <x v="1"/>
    <x v="1"/>
    <s v="-"/>
    <s v="No"/>
    <n v="0"/>
    <n v="0"/>
    <n v="5"/>
  </r>
  <r>
    <n v="3343"/>
    <s v="Amanda Lopes"/>
    <x v="0"/>
    <d v="2024-06-17T00:00:00"/>
    <x v="1"/>
    <n v="15"/>
    <x v="2"/>
    <x v="0"/>
    <n v="30"/>
    <s v="Yes"/>
    <n v="20"/>
    <n v="20"/>
    <n v="45"/>
  </r>
  <r>
    <n v="3344"/>
    <s v="Bruno Miranda"/>
    <x v="2"/>
    <d v="2024-06-18T00:00:00"/>
    <x v="0"/>
    <n v="10"/>
    <x v="2"/>
    <x v="1"/>
    <s v="-"/>
    <s v="Yes"/>
    <n v="20"/>
    <n v="12"/>
    <n v="18"/>
  </r>
  <r>
    <n v="3345"/>
    <s v="Célia Torres"/>
    <x v="1"/>
    <d v="2024-06-19T00:00:00"/>
    <x v="1"/>
    <n v="5"/>
    <x v="0"/>
    <x v="1"/>
    <s v="-"/>
    <s v="No"/>
    <n v="0"/>
    <n v="2"/>
    <n v="3"/>
  </r>
  <r>
    <n v="3346"/>
    <s v="Diogo Souza"/>
    <x v="0"/>
    <d v="2024-06-20T00:00:00"/>
    <x v="0"/>
    <n v="15"/>
    <x v="1"/>
    <x v="0"/>
    <n v="30"/>
    <s v="Yes"/>
    <n v="20"/>
    <n v="5"/>
    <n v="60"/>
  </r>
  <r>
    <n v="3347"/>
    <s v="Elisa Castro"/>
    <x v="2"/>
    <d v="2024-06-21T00:00:00"/>
    <x v="1"/>
    <n v="10"/>
    <x v="0"/>
    <x v="1"/>
    <s v="-"/>
    <s v="Yes"/>
    <n v="20"/>
    <n v="10"/>
    <n v="20"/>
  </r>
  <r>
    <n v="3348"/>
    <s v="Fátima Lima"/>
    <x v="1"/>
    <d v="2024-06-22T00:00:00"/>
    <x v="0"/>
    <n v="5"/>
    <x v="2"/>
    <x v="1"/>
    <s v="-"/>
    <s v="No"/>
    <n v="0"/>
    <n v="0"/>
    <n v="5"/>
  </r>
  <r>
    <n v="3349"/>
    <s v="Geraldo Ribeiro"/>
    <x v="0"/>
    <d v="2024-06-23T00:00:00"/>
    <x v="1"/>
    <n v="15"/>
    <x v="0"/>
    <x v="0"/>
    <n v="30"/>
    <s v="Yes"/>
    <n v="20"/>
    <n v="3"/>
    <n v="62"/>
  </r>
  <r>
    <n v="3350"/>
    <s v="Hélio Martins"/>
    <x v="2"/>
    <d v="2024-06-24T00:00:00"/>
    <x v="0"/>
    <n v="10"/>
    <x v="1"/>
    <x v="1"/>
    <s v="-"/>
    <s v="Yes"/>
    <n v="20"/>
    <n v="15"/>
    <n v="15"/>
  </r>
  <r>
    <n v="3351"/>
    <s v="Íris Santos"/>
    <x v="1"/>
    <d v="2024-06-25T00:00:00"/>
    <x v="1"/>
    <n v="5"/>
    <x v="0"/>
    <x v="1"/>
    <s v="-"/>
    <s v="No"/>
    <n v="0"/>
    <n v="1"/>
    <n v="4"/>
  </r>
  <r>
    <n v="3352"/>
    <s v="João Marcelo"/>
    <x v="0"/>
    <d v="2024-06-26T00:00:00"/>
    <x v="0"/>
    <n v="15"/>
    <x v="2"/>
    <x v="0"/>
    <n v="30"/>
    <s v="Yes"/>
    <n v="20"/>
    <n v="7"/>
    <n v="58"/>
  </r>
  <r>
    <n v="3353"/>
    <s v="Larissa Gomes"/>
    <x v="2"/>
    <d v="2024-06-27T00:00:00"/>
    <x v="1"/>
    <n v="10"/>
    <x v="0"/>
    <x v="1"/>
    <s v="-"/>
    <s v="Yes"/>
    <n v="20"/>
    <n v="10"/>
    <n v="20"/>
  </r>
  <r>
    <n v="3354"/>
    <s v="Márcio Silva"/>
    <x v="1"/>
    <d v="2024-06-28T00:00:00"/>
    <x v="0"/>
    <n v="5"/>
    <x v="1"/>
    <x v="1"/>
    <s v="-"/>
    <s v="No"/>
    <n v="0"/>
    <n v="0"/>
    <n v="5"/>
  </r>
  <r>
    <n v="3355"/>
    <s v="Nadia Costa"/>
    <x v="0"/>
    <d v="2024-06-29T00:00:00"/>
    <x v="1"/>
    <n v="15"/>
    <x v="0"/>
    <x v="0"/>
    <n v="30"/>
    <s v="Yes"/>
    <n v="20"/>
    <n v="20"/>
    <n v="45"/>
  </r>
  <r>
    <n v="3356"/>
    <s v="Oscar Almeida"/>
    <x v="2"/>
    <d v="2024-06-30T00:00:00"/>
    <x v="0"/>
    <n v="10"/>
    <x v="2"/>
    <x v="1"/>
    <s v="-"/>
    <s v="Yes"/>
    <n v="20"/>
    <n v="15"/>
    <n v="15"/>
  </r>
  <r>
    <n v="3357"/>
    <s v="Patricia Soares"/>
    <x v="1"/>
    <d v="2024-07-01T00:00:00"/>
    <x v="1"/>
    <n v="5"/>
    <x v="0"/>
    <x v="1"/>
    <s v="-"/>
    <s v="No"/>
    <n v="0"/>
    <n v="1"/>
    <n v="4"/>
  </r>
  <r>
    <n v="3358"/>
    <s v="Quênia Barros"/>
    <x v="0"/>
    <d v="2024-07-02T00:00:00"/>
    <x v="0"/>
    <n v="15"/>
    <x v="1"/>
    <x v="0"/>
    <n v="30"/>
    <s v="Yes"/>
    <n v="20"/>
    <n v="3"/>
    <n v="62"/>
  </r>
  <r>
    <n v="3359"/>
    <s v="Rafael Torres"/>
    <x v="2"/>
    <d v="2024-07-03T00:00:00"/>
    <x v="1"/>
    <n v="10"/>
    <x v="0"/>
    <x v="1"/>
    <s v="-"/>
    <s v="Yes"/>
    <n v="20"/>
    <n v="10"/>
    <n v="20"/>
  </r>
  <r>
    <n v="3360"/>
    <s v="Silvia Nascimento"/>
    <x v="1"/>
    <d v="2024-07-04T00:00:00"/>
    <x v="0"/>
    <n v="5"/>
    <x v="2"/>
    <x v="1"/>
    <s v="-"/>
    <s v="No"/>
    <n v="0"/>
    <n v="0"/>
    <n v="5"/>
  </r>
  <r>
    <n v="3361"/>
    <s v="Tiago Mendes"/>
    <x v="0"/>
    <d v="2024-07-05T00:00:00"/>
    <x v="1"/>
    <n v="15"/>
    <x v="0"/>
    <x v="0"/>
    <n v="30"/>
    <s v="Yes"/>
    <n v="20"/>
    <n v="15"/>
    <n v="50"/>
  </r>
  <r>
    <n v="3362"/>
    <s v="Ursula Silva"/>
    <x v="2"/>
    <d v="2024-07-06T00:00:00"/>
    <x v="0"/>
    <n v="10"/>
    <x v="1"/>
    <x v="1"/>
    <s v="-"/>
    <s v="Yes"/>
    <n v="20"/>
    <n v="15"/>
    <n v="15"/>
  </r>
  <r>
    <n v="3363"/>
    <s v="Vanessa Moraes"/>
    <x v="1"/>
    <d v="2024-07-07T00:00:00"/>
    <x v="1"/>
    <n v="5"/>
    <x v="0"/>
    <x v="1"/>
    <s v="-"/>
    <s v="No"/>
    <n v="0"/>
    <n v="1"/>
    <n v="4"/>
  </r>
  <r>
    <n v="3364"/>
    <s v="Waldir Junior"/>
    <x v="0"/>
    <d v="2024-07-08T00:00:00"/>
    <x v="0"/>
    <n v="15"/>
    <x v="2"/>
    <x v="0"/>
    <n v="30"/>
    <s v="Yes"/>
    <n v="20"/>
    <n v="7"/>
    <n v="58"/>
  </r>
  <r>
    <n v="3365"/>
    <s v="Xavier Lopes"/>
    <x v="2"/>
    <d v="2024-07-09T00:00:00"/>
    <x v="1"/>
    <n v="10"/>
    <x v="0"/>
    <x v="1"/>
    <s v="-"/>
    <s v="Yes"/>
    <n v="20"/>
    <n v="10"/>
    <n v="20"/>
  </r>
  <r>
    <n v="3366"/>
    <s v="Yolanda Freitas"/>
    <x v="1"/>
    <d v="2024-07-10T00:00:00"/>
    <x v="0"/>
    <n v="5"/>
    <x v="0"/>
    <x v="1"/>
    <s v="-"/>
    <s v="No"/>
    <n v="0"/>
    <n v="0"/>
    <n v="5"/>
  </r>
  <r>
    <n v="3367"/>
    <s v="Zacarias Nunes"/>
    <x v="0"/>
    <d v="2024-07-11T00:00:00"/>
    <x v="1"/>
    <n v="15"/>
    <x v="2"/>
    <x v="0"/>
    <n v="30"/>
    <s v="Yes"/>
    <n v="20"/>
    <n v="7"/>
    <n v="58"/>
  </r>
  <r>
    <n v="3368"/>
    <s v="Ana Clara Barreto"/>
    <x v="2"/>
    <d v="2024-07-12T00:00:00"/>
    <x v="0"/>
    <n v="10"/>
    <x v="1"/>
    <x v="1"/>
    <s v="-"/>
    <s v="Yes"/>
    <n v="20"/>
    <n v="10"/>
    <n v="20"/>
  </r>
  <r>
    <n v="3369"/>
    <s v="Bruno Henrique"/>
    <x v="1"/>
    <d v="2024-07-13T00:00:00"/>
    <x v="1"/>
    <n v="5"/>
    <x v="2"/>
    <x v="1"/>
    <s v="-"/>
    <s v="No"/>
    <n v="0"/>
    <n v="1"/>
    <n v="4"/>
  </r>
  <r>
    <n v="3370"/>
    <s v="Carlos Eduardo"/>
    <x v="0"/>
    <d v="2024-07-14T00:00:00"/>
    <x v="0"/>
    <n v="15"/>
    <x v="0"/>
    <x v="0"/>
    <n v="30"/>
    <s v="Yes"/>
    <n v="20"/>
    <n v="15"/>
    <n v="50"/>
  </r>
  <r>
    <n v="3371"/>
    <s v="Débora Lima"/>
    <x v="2"/>
    <d v="2024-07-15T00:00:00"/>
    <x v="1"/>
    <n v="10"/>
    <x v="0"/>
    <x v="1"/>
    <s v="-"/>
    <s v="Yes"/>
    <n v="20"/>
    <n v="5"/>
    <n v="25"/>
  </r>
  <r>
    <n v="3372"/>
    <s v="Elisa Neves"/>
    <x v="1"/>
    <d v="2024-07-16T00:00:00"/>
    <x v="0"/>
    <n v="5"/>
    <x v="1"/>
    <x v="1"/>
    <s v="-"/>
    <s v="No"/>
    <n v="0"/>
    <n v="0"/>
    <n v="5"/>
  </r>
  <r>
    <n v="3373"/>
    <s v="Fabiano Gomes"/>
    <x v="0"/>
    <d v="2024-07-17T00:00:00"/>
    <x v="1"/>
    <n v="15"/>
    <x v="2"/>
    <x v="0"/>
    <n v="30"/>
    <s v="Yes"/>
    <n v="20"/>
    <n v="20"/>
    <n v="45"/>
  </r>
  <r>
    <n v="3374"/>
    <s v="Gisele Oliveira"/>
    <x v="2"/>
    <d v="2024-07-18T00:00:00"/>
    <x v="0"/>
    <n v="10"/>
    <x v="2"/>
    <x v="1"/>
    <s v="-"/>
    <s v="Yes"/>
    <n v="20"/>
    <n v="12"/>
    <n v="18"/>
  </r>
  <r>
    <n v="3375"/>
    <s v="Héctor Silva"/>
    <x v="1"/>
    <d v="2024-07-19T00:00:00"/>
    <x v="1"/>
    <n v="5"/>
    <x v="0"/>
    <x v="1"/>
    <s v="-"/>
    <s v="No"/>
    <n v="0"/>
    <n v="2"/>
    <n v="3"/>
  </r>
  <r>
    <n v="3376"/>
    <s v="Igor Martins"/>
    <x v="0"/>
    <d v="2024-07-20T00:00:00"/>
    <x v="0"/>
    <n v="15"/>
    <x v="1"/>
    <x v="0"/>
    <n v="30"/>
    <s v="Yes"/>
    <n v="20"/>
    <n v="5"/>
    <n v="60"/>
  </r>
  <r>
    <n v="3377"/>
    <s v="Joana Figueiredo"/>
    <x v="2"/>
    <d v="2024-07-21T00:00:00"/>
    <x v="1"/>
    <n v="10"/>
    <x v="0"/>
    <x v="1"/>
    <s v="-"/>
    <s v="Yes"/>
    <n v="20"/>
    <n v="10"/>
    <n v="20"/>
  </r>
  <r>
    <n v="3378"/>
    <s v="Kleber Machado"/>
    <x v="1"/>
    <d v="2024-07-22T00:00:00"/>
    <x v="0"/>
    <n v="5"/>
    <x v="2"/>
    <x v="1"/>
    <s v="-"/>
    <s v="No"/>
    <n v="0"/>
    <n v="0"/>
    <n v="5"/>
  </r>
  <r>
    <n v="3379"/>
    <s v="Luciana Santos"/>
    <x v="0"/>
    <d v="2024-07-23T00:00:00"/>
    <x v="1"/>
    <n v="15"/>
    <x v="0"/>
    <x v="0"/>
    <n v="30"/>
    <s v="Yes"/>
    <n v="20"/>
    <n v="3"/>
    <n v="62"/>
  </r>
  <r>
    <n v="3380"/>
    <s v="Marcos Teixeira"/>
    <x v="2"/>
    <d v="2024-07-24T00:00:00"/>
    <x v="0"/>
    <n v="10"/>
    <x v="1"/>
    <x v="1"/>
    <s v="-"/>
    <s v="Yes"/>
    <n v="20"/>
    <n v="15"/>
    <n v="15"/>
  </r>
  <r>
    <n v="3381"/>
    <s v="Natalia Costa"/>
    <x v="1"/>
    <d v="2024-07-25T00:00:00"/>
    <x v="1"/>
    <n v="5"/>
    <x v="0"/>
    <x v="1"/>
    <s v="-"/>
    <s v="No"/>
    <n v="0"/>
    <n v="1"/>
    <n v="4"/>
  </r>
  <r>
    <n v="3382"/>
    <s v="Oscar Ribeiro"/>
    <x v="0"/>
    <d v="2024-07-26T00:00:00"/>
    <x v="0"/>
    <n v="15"/>
    <x v="2"/>
    <x v="0"/>
    <n v="30"/>
    <s v="Yes"/>
    <n v="20"/>
    <n v="7"/>
    <n v="58"/>
  </r>
  <r>
    <n v="3383"/>
    <s v="Patricia Almeida"/>
    <x v="2"/>
    <d v="2024-07-27T00:00:00"/>
    <x v="1"/>
    <n v="10"/>
    <x v="0"/>
    <x v="1"/>
    <s v="-"/>
    <s v="Yes"/>
    <n v="20"/>
    <n v="10"/>
    <n v="20"/>
  </r>
  <r>
    <n v="3384"/>
    <s v="Quirino Junior"/>
    <x v="1"/>
    <d v="2024-07-28T00:00:00"/>
    <x v="0"/>
    <n v="5"/>
    <x v="1"/>
    <x v="1"/>
    <s v="-"/>
    <s v="No"/>
    <n v="0"/>
    <n v="0"/>
    <n v="5"/>
  </r>
  <r>
    <n v="3385"/>
    <s v="Renata Machado"/>
    <x v="0"/>
    <d v="2024-07-29T00:00:00"/>
    <x v="1"/>
    <n v="15"/>
    <x v="0"/>
    <x v="0"/>
    <n v="30"/>
    <s v="Yes"/>
    <n v="20"/>
    <n v="20"/>
    <n v="45"/>
  </r>
  <r>
    <n v="3386"/>
    <s v="Sônia Alves"/>
    <x v="2"/>
    <d v="2024-07-30T00:00:00"/>
    <x v="0"/>
    <n v="10"/>
    <x v="2"/>
    <x v="1"/>
    <s v="-"/>
    <s v="Yes"/>
    <n v="20"/>
    <n v="15"/>
    <n v="15"/>
  </r>
  <r>
    <n v="3387"/>
    <s v="Tiago Nunes"/>
    <x v="1"/>
    <d v="2024-07-31T00:00:00"/>
    <x v="1"/>
    <n v="5"/>
    <x v="0"/>
    <x v="1"/>
    <s v="-"/>
    <s v="No"/>
    <n v="0"/>
    <n v="1"/>
    <n v="4"/>
  </r>
  <r>
    <n v="3388"/>
    <s v="Ulysses Pereira"/>
    <x v="0"/>
    <d v="2024-08-01T00:00:00"/>
    <x v="0"/>
    <n v="15"/>
    <x v="1"/>
    <x v="0"/>
    <n v="30"/>
    <s v="Yes"/>
    <n v="20"/>
    <n v="3"/>
    <n v="62"/>
  </r>
  <r>
    <n v="3389"/>
    <s v="Vanessa Lima"/>
    <x v="2"/>
    <d v="2024-08-02T00:00:00"/>
    <x v="1"/>
    <n v="10"/>
    <x v="0"/>
    <x v="1"/>
    <s v="-"/>
    <s v="Yes"/>
    <n v="20"/>
    <n v="10"/>
    <n v="20"/>
  </r>
  <r>
    <n v="3390"/>
    <s v="Wagner Santos"/>
    <x v="1"/>
    <d v="2024-08-03T00:00:00"/>
    <x v="0"/>
    <n v="5"/>
    <x v="2"/>
    <x v="1"/>
    <s v="-"/>
    <s v="No"/>
    <n v="0"/>
    <n v="0"/>
    <n v="5"/>
  </r>
  <r>
    <n v="3391"/>
    <s v="Xuxa Meneghel"/>
    <x v="0"/>
    <d v="2024-08-04T00:00:00"/>
    <x v="1"/>
    <n v="15"/>
    <x v="0"/>
    <x v="0"/>
    <n v="30"/>
    <s v="Yes"/>
    <n v="20"/>
    <n v="15"/>
    <n v="50"/>
  </r>
  <r>
    <n v="3392"/>
    <s v="Yasmin Silva"/>
    <x v="2"/>
    <d v="2024-08-05T00:00:00"/>
    <x v="0"/>
    <n v="10"/>
    <x v="1"/>
    <x v="1"/>
    <s v="-"/>
    <s v="Yes"/>
    <n v="20"/>
    <n v="15"/>
    <n v="15"/>
  </r>
  <r>
    <n v="3393"/>
    <s v="Zacarias de Souza"/>
    <x v="1"/>
    <d v="2024-08-06T00:00:00"/>
    <x v="1"/>
    <n v="5"/>
    <x v="0"/>
    <x v="1"/>
    <s v="-"/>
    <s v="No"/>
    <n v="0"/>
    <n v="1"/>
    <n v="4"/>
  </r>
  <r>
    <n v="3394"/>
    <s v="André Lima"/>
    <x v="0"/>
    <d v="2024-08-07T00:00:00"/>
    <x v="0"/>
    <n v="15"/>
    <x v="2"/>
    <x v="0"/>
    <n v="30"/>
    <s v="Yes"/>
    <n v="20"/>
    <n v="7"/>
    <n v="58"/>
  </r>
  <r>
    <n v="3395"/>
    <s v="Bianca Freitas"/>
    <x v="2"/>
    <d v="2024-08-08T00:00:00"/>
    <x v="1"/>
    <n v="10"/>
    <x v="0"/>
    <x v="1"/>
    <s v="-"/>
    <s v="Yes"/>
    <n v="20"/>
    <n v="10"/>
    <n v="20"/>
  </r>
  <r>
    <n v="3396"/>
    <s v="Caio Mendes"/>
    <x v="1"/>
    <d v="2024-08-09T00:00:00"/>
    <x v="0"/>
    <n v="5"/>
    <x v="1"/>
    <x v="1"/>
    <s v="-"/>
    <s v="No"/>
    <n v="0"/>
    <n v="0"/>
    <n v="5"/>
  </r>
  <r>
    <n v="3397"/>
    <s v="Daniela Moura"/>
    <x v="0"/>
    <d v="2024-08-10T00:00:00"/>
    <x v="1"/>
    <n v="15"/>
    <x v="0"/>
    <x v="0"/>
    <n v="30"/>
    <s v="Yes"/>
    <n v="20"/>
    <n v="20"/>
    <n v="45"/>
  </r>
  <r>
    <n v="3398"/>
    <s v="Eduardo Costa"/>
    <x v="2"/>
    <d v="2024-08-11T00:00:00"/>
    <x v="0"/>
    <n v="10"/>
    <x v="2"/>
    <x v="1"/>
    <s v="-"/>
    <s v="Yes"/>
    <n v="20"/>
    <n v="15"/>
    <n v="15"/>
  </r>
  <r>
    <n v="3399"/>
    <s v="Fernanda Gomes"/>
    <x v="1"/>
    <d v="2024-08-12T00:00:00"/>
    <x v="1"/>
    <n v="5"/>
    <x v="0"/>
    <x v="1"/>
    <s v="-"/>
    <s v="No"/>
    <n v="0"/>
    <n v="1"/>
    <n v="4"/>
  </r>
  <r>
    <n v="3400"/>
    <s v="Guilherme Souza"/>
    <x v="0"/>
    <d v="2024-08-13T00:00:00"/>
    <x v="0"/>
    <n v="15"/>
    <x v="1"/>
    <x v="0"/>
    <n v="30"/>
    <s v="Yes"/>
    <n v="20"/>
    <n v="5"/>
    <n v="60"/>
  </r>
  <r>
    <n v="3401"/>
    <s v="Helena Ribeiro"/>
    <x v="2"/>
    <d v="2024-08-14T00:00:00"/>
    <x v="1"/>
    <n v="10"/>
    <x v="0"/>
    <x v="1"/>
    <s v="-"/>
    <s v="Yes"/>
    <n v="20"/>
    <n v="10"/>
    <n v="20"/>
  </r>
  <r>
    <n v="3402"/>
    <s v="Igor Santos"/>
    <x v="1"/>
    <d v="2024-08-15T00:00:00"/>
    <x v="0"/>
    <n v="5"/>
    <x v="2"/>
    <x v="1"/>
    <s v="-"/>
    <s v="No"/>
    <n v="0"/>
    <n v="0"/>
    <n v="5"/>
  </r>
  <r>
    <n v="3403"/>
    <s v="João Carvalho"/>
    <x v="0"/>
    <d v="2024-08-16T00:00:00"/>
    <x v="1"/>
    <n v="15"/>
    <x v="0"/>
    <x v="0"/>
    <n v="30"/>
    <s v="Yes"/>
    <n v="20"/>
    <n v="3"/>
    <n v="62"/>
  </r>
  <r>
    <n v="3404"/>
    <s v="Klara Fagundes"/>
    <x v="2"/>
    <d v="2024-08-17T00:00:00"/>
    <x v="0"/>
    <n v="10"/>
    <x v="1"/>
    <x v="1"/>
    <s v="-"/>
    <s v="Yes"/>
    <n v="20"/>
    <n v="15"/>
    <n v="15"/>
  </r>
  <r>
    <n v="3405"/>
    <s v="Lúcia Mendonça"/>
    <x v="1"/>
    <d v="2024-08-18T00:00:00"/>
    <x v="1"/>
    <n v="5"/>
    <x v="0"/>
    <x v="1"/>
    <s v="-"/>
    <s v="No"/>
    <n v="0"/>
    <n v="1"/>
    <n v="4"/>
  </r>
  <r>
    <n v="3406"/>
    <s v="Marcelo Novaes"/>
    <x v="1"/>
    <d v="2024-08-19T00:00:00"/>
    <x v="0"/>
    <n v="5"/>
    <x v="0"/>
    <x v="1"/>
    <s v="-"/>
    <s v="No"/>
    <n v="0"/>
    <n v="0"/>
    <n v="5"/>
  </r>
  <r>
    <n v="3407"/>
    <s v="Nina Pacheco"/>
    <x v="0"/>
    <d v="2024-08-20T00:00:00"/>
    <x v="1"/>
    <n v="15"/>
    <x v="2"/>
    <x v="0"/>
    <n v="30"/>
    <s v="Yes"/>
    <n v="20"/>
    <n v="7"/>
    <n v="58"/>
  </r>
  <r>
    <n v="3408"/>
    <s v="Olívia Rios"/>
    <x v="2"/>
    <d v="2024-08-21T00:00:00"/>
    <x v="0"/>
    <n v="10"/>
    <x v="1"/>
    <x v="1"/>
    <s v="-"/>
    <s v="Yes"/>
    <n v="20"/>
    <n v="10"/>
    <n v="20"/>
  </r>
  <r>
    <n v="3409"/>
    <s v="Paulo Quintana"/>
    <x v="1"/>
    <d v="2024-08-22T00:00:00"/>
    <x v="1"/>
    <n v="5"/>
    <x v="2"/>
    <x v="1"/>
    <s v="-"/>
    <s v="No"/>
    <n v="0"/>
    <n v="1"/>
    <n v="4"/>
  </r>
  <r>
    <n v="3410"/>
    <s v="Raquel Domingos"/>
    <x v="0"/>
    <d v="2024-08-23T00:00:00"/>
    <x v="0"/>
    <n v="15"/>
    <x v="0"/>
    <x v="0"/>
    <n v="30"/>
    <s v="Yes"/>
    <n v="20"/>
    <n v="15"/>
    <n v="50"/>
  </r>
  <r>
    <n v="3411"/>
    <s v="Samuel Viana"/>
    <x v="2"/>
    <d v="2024-08-24T00:00:00"/>
    <x v="1"/>
    <n v="10"/>
    <x v="0"/>
    <x v="1"/>
    <s v="-"/>
    <s v="Yes"/>
    <n v="20"/>
    <n v="5"/>
    <n v="25"/>
  </r>
  <r>
    <n v="3412"/>
    <s v="Tatiane Rocha"/>
    <x v="1"/>
    <d v="2024-08-25T00:00:00"/>
    <x v="0"/>
    <n v="5"/>
    <x v="1"/>
    <x v="1"/>
    <s v="-"/>
    <s v="No"/>
    <n v="0"/>
    <n v="0"/>
    <n v="5"/>
  </r>
  <r>
    <n v="3413"/>
    <s v="Ulysses Farias"/>
    <x v="0"/>
    <d v="2024-08-26T00:00:00"/>
    <x v="1"/>
    <n v="15"/>
    <x v="2"/>
    <x v="0"/>
    <n v="30"/>
    <s v="Yes"/>
    <n v="20"/>
    <n v="20"/>
    <n v="45"/>
  </r>
  <r>
    <n v="3414"/>
    <s v="Vanessa Moreira"/>
    <x v="2"/>
    <d v="2024-08-27T00:00:00"/>
    <x v="0"/>
    <n v="10"/>
    <x v="2"/>
    <x v="1"/>
    <s v="-"/>
    <s v="Yes"/>
    <n v="20"/>
    <n v="12"/>
    <n v="18"/>
  </r>
  <r>
    <n v="3415"/>
    <s v="William Carvalho"/>
    <x v="1"/>
    <d v="2024-08-28T00:00:00"/>
    <x v="1"/>
    <n v="5"/>
    <x v="0"/>
    <x v="1"/>
    <s v="-"/>
    <s v="No"/>
    <n v="0"/>
    <n v="2"/>
    <n v="3"/>
  </r>
  <r>
    <n v="3416"/>
    <s v="Ximena Barros"/>
    <x v="0"/>
    <d v="2024-08-29T00:00:00"/>
    <x v="0"/>
    <n v="15"/>
    <x v="1"/>
    <x v="0"/>
    <n v="30"/>
    <s v="Yes"/>
    <n v="20"/>
    <n v="5"/>
    <n v="60"/>
  </r>
  <r>
    <n v="3417"/>
    <s v="Yara Machado"/>
    <x v="2"/>
    <d v="2024-08-30T00:00:00"/>
    <x v="1"/>
    <n v="10"/>
    <x v="0"/>
    <x v="1"/>
    <s v="-"/>
    <s v="Yes"/>
    <n v="20"/>
    <n v="10"/>
    <n v="20"/>
  </r>
  <r>
    <n v="3418"/>
    <s v="Zacarias Costa"/>
    <x v="1"/>
    <d v="2024-08-31T00:00:00"/>
    <x v="0"/>
    <n v="5"/>
    <x v="2"/>
    <x v="1"/>
    <s v="-"/>
    <s v="No"/>
    <n v="0"/>
    <n v="0"/>
    <n v="5"/>
  </r>
  <r>
    <n v="3419"/>
    <s v="André Lopes"/>
    <x v="0"/>
    <d v="2024-09-01T00:00:00"/>
    <x v="1"/>
    <n v="15"/>
    <x v="0"/>
    <x v="0"/>
    <n v="30"/>
    <s v="Yes"/>
    <n v="20"/>
    <n v="3"/>
    <n v="62"/>
  </r>
  <r>
    <n v="3420"/>
    <s v="Beatriz Souza"/>
    <x v="2"/>
    <d v="2024-09-02T00:00:00"/>
    <x v="0"/>
    <n v="10"/>
    <x v="1"/>
    <x v="1"/>
    <s v="-"/>
    <s v="Yes"/>
    <n v="20"/>
    <n v="15"/>
    <n v="15"/>
  </r>
  <r>
    <n v="3421"/>
    <s v="Caio Pereira"/>
    <x v="1"/>
    <d v="2024-09-03T00:00:00"/>
    <x v="1"/>
    <n v="5"/>
    <x v="0"/>
    <x v="1"/>
    <s v="-"/>
    <s v="No"/>
    <n v="0"/>
    <n v="1"/>
    <n v="4"/>
  </r>
  <r>
    <n v="3422"/>
    <s v="Daniela Araújo"/>
    <x v="0"/>
    <d v="2024-09-04T00:00:00"/>
    <x v="0"/>
    <n v="15"/>
    <x v="2"/>
    <x v="0"/>
    <n v="30"/>
    <s v="Yes"/>
    <n v="20"/>
    <n v="7"/>
    <n v="58"/>
  </r>
  <r>
    <n v="3423"/>
    <s v="Eduardo Santos"/>
    <x v="2"/>
    <d v="2024-09-05T00:00:00"/>
    <x v="1"/>
    <n v="10"/>
    <x v="0"/>
    <x v="1"/>
    <s v="-"/>
    <s v="Yes"/>
    <n v="20"/>
    <n v="10"/>
    <n v="20"/>
  </r>
  <r>
    <n v="3424"/>
    <s v="Fernanda Lima"/>
    <x v="1"/>
    <d v="2024-09-06T00:00:00"/>
    <x v="0"/>
    <n v="5"/>
    <x v="1"/>
    <x v="1"/>
    <s v="-"/>
    <s v="No"/>
    <n v="0"/>
    <n v="0"/>
    <n v="5"/>
  </r>
  <r>
    <n v="3425"/>
    <s v="Gabriel Teixeira"/>
    <x v="0"/>
    <d v="2024-09-07T00:00:00"/>
    <x v="1"/>
    <n v="15"/>
    <x v="0"/>
    <x v="0"/>
    <n v="30"/>
    <s v="Yes"/>
    <n v="20"/>
    <n v="20"/>
    <n v="45"/>
  </r>
  <r>
    <n v="3426"/>
    <s v="Helena Ribeiro"/>
    <x v="2"/>
    <d v="2024-09-08T00:00:00"/>
    <x v="0"/>
    <n v="10"/>
    <x v="2"/>
    <x v="1"/>
    <s v="-"/>
    <s v="Yes"/>
    <n v="20"/>
    <n v="15"/>
    <n v="15"/>
  </r>
  <r>
    <n v="3427"/>
    <s v="Igor Mendes"/>
    <x v="1"/>
    <d v="2024-09-09T00:00:00"/>
    <x v="1"/>
    <n v="5"/>
    <x v="0"/>
    <x v="1"/>
    <s v="-"/>
    <s v="No"/>
    <n v="0"/>
    <n v="1"/>
    <n v="4"/>
  </r>
  <r>
    <n v="3428"/>
    <s v="Joana Silveira"/>
    <x v="0"/>
    <d v="2024-09-10T00:00:00"/>
    <x v="0"/>
    <n v="15"/>
    <x v="1"/>
    <x v="0"/>
    <n v="30"/>
    <s v="Yes"/>
    <n v="20"/>
    <n v="3"/>
    <n v="62"/>
  </r>
  <r>
    <n v="3429"/>
    <s v="Lucas Martins"/>
    <x v="2"/>
    <d v="2024-09-11T00:00:00"/>
    <x v="1"/>
    <n v="10"/>
    <x v="0"/>
    <x v="1"/>
    <s v="-"/>
    <s v="Yes"/>
    <n v="20"/>
    <n v="10"/>
    <n v="20"/>
  </r>
  <r>
    <n v="3430"/>
    <s v="Marcela Gouveia"/>
    <x v="1"/>
    <d v="2024-09-12T00:00:00"/>
    <x v="0"/>
    <n v="5"/>
    <x v="2"/>
    <x v="1"/>
    <s v="-"/>
    <s v="No"/>
    <n v="0"/>
    <n v="0"/>
    <n v="5"/>
  </r>
  <r>
    <n v="3431"/>
    <s v="Nicolas Borges"/>
    <x v="0"/>
    <d v="2024-09-13T00:00:00"/>
    <x v="1"/>
    <n v="15"/>
    <x v="0"/>
    <x v="0"/>
    <n v="30"/>
    <s v="Yes"/>
    <n v="20"/>
    <n v="15"/>
    <n v="50"/>
  </r>
  <r>
    <n v="3432"/>
    <s v="Olivia Freitas"/>
    <x v="2"/>
    <d v="2024-09-14T00:00:00"/>
    <x v="0"/>
    <n v="10"/>
    <x v="1"/>
    <x v="1"/>
    <s v="-"/>
    <s v="Yes"/>
    <n v="20"/>
    <n v="15"/>
    <n v="15"/>
  </r>
  <r>
    <n v="3433"/>
    <s v="Paulo Nogueira"/>
    <x v="1"/>
    <d v="2024-09-15T00:00:00"/>
    <x v="1"/>
    <n v="5"/>
    <x v="0"/>
    <x v="1"/>
    <s v="-"/>
    <s v="No"/>
    <n v="0"/>
    <n v="1"/>
    <n v="4"/>
  </r>
  <r>
    <n v="3434"/>
    <s v="Raquel Andrade"/>
    <x v="0"/>
    <d v="2024-09-16T00:00:00"/>
    <x v="0"/>
    <n v="15"/>
    <x v="2"/>
    <x v="0"/>
    <n v="30"/>
    <s v="Yes"/>
    <n v="20"/>
    <n v="7"/>
    <n v="58"/>
  </r>
  <r>
    <n v="3435"/>
    <s v="Sônia Carvalho"/>
    <x v="2"/>
    <d v="2024-09-17T00:00:00"/>
    <x v="1"/>
    <n v="10"/>
    <x v="0"/>
    <x v="1"/>
    <s v="-"/>
    <s v="Yes"/>
    <n v="20"/>
    <n v="10"/>
    <n v="20"/>
  </r>
  <r>
    <n v="3436"/>
    <s v="Tiago Rodrigues"/>
    <x v="1"/>
    <d v="2024-09-18T00:00:00"/>
    <x v="0"/>
    <n v="5"/>
    <x v="0"/>
    <x v="1"/>
    <s v="-"/>
    <s v="No"/>
    <n v="0"/>
    <n v="0"/>
    <n v="5"/>
  </r>
  <r>
    <n v="3437"/>
    <s v="Ursula Monteiro"/>
    <x v="0"/>
    <d v="2024-09-19T00:00:00"/>
    <x v="1"/>
    <n v="15"/>
    <x v="2"/>
    <x v="0"/>
    <n v="30"/>
    <s v="Yes"/>
    <n v="20"/>
    <n v="7"/>
    <n v="58"/>
  </r>
  <r>
    <n v="3438"/>
    <s v="Vanessa Pereira"/>
    <x v="2"/>
    <d v="2024-09-20T00:00:00"/>
    <x v="0"/>
    <n v="10"/>
    <x v="1"/>
    <x v="1"/>
    <s v="-"/>
    <s v="Yes"/>
    <n v="20"/>
    <n v="10"/>
    <n v="20"/>
  </r>
  <r>
    <n v="3439"/>
    <s v="Walter Silva"/>
    <x v="1"/>
    <d v="2024-09-21T00:00:00"/>
    <x v="1"/>
    <n v="5"/>
    <x v="2"/>
    <x v="1"/>
    <s v="-"/>
    <s v="No"/>
    <n v="0"/>
    <n v="1"/>
    <n v="4"/>
  </r>
  <r>
    <n v="3440"/>
    <s v="Xavier Almeida"/>
    <x v="0"/>
    <d v="2024-09-22T00:00:00"/>
    <x v="0"/>
    <n v="15"/>
    <x v="0"/>
    <x v="0"/>
    <n v="30"/>
    <s v="Yes"/>
    <n v="20"/>
    <n v="15"/>
    <n v="50"/>
  </r>
  <r>
    <n v="3441"/>
    <s v="Yasmine Correia"/>
    <x v="2"/>
    <d v="2024-09-23T00:00:00"/>
    <x v="1"/>
    <n v="10"/>
    <x v="0"/>
    <x v="1"/>
    <s v="-"/>
    <s v="Yes"/>
    <n v="20"/>
    <n v="5"/>
    <n v="25"/>
  </r>
  <r>
    <n v="3442"/>
    <s v="Zacarias Almeida"/>
    <x v="1"/>
    <d v="2024-09-24T00:00:00"/>
    <x v="0"/>
    <n v="5"/>
    <x v="1"/>
    <x v="1"/>
    <s v="-"/>
    <s v="No"/>
    <n v="0"/>
    <n v="0"/>
    <n v="5"/>
  </r>
  <r>
    <n v="3443"/>
    <s v="Amanda Costa"/>
    <x v="0"/>
    <d v="2024-09-25T00:00:00"/>
    <x v="1"/>
    <n v="15"/>
    <x v="2"/>
    <x v="0"/>
    <n v="30"/>
    <s v="Yes"/>
    <n v="20"/>
    <n v="20"/>
    <n v="45"/>
  </r>
  <r>
    <n v="3444"/>
    <s v="Bruno Ferreira"/>
    <x v="2"/>
    <d v="2024-09-26T00:00:00"/>
    <x v="0"/>
    <n v="10"/>
    <x v="2"/>
    <x v="1"/>
    <s v="-"/>
    <s v="Yes"/>
    <n v="20"/>
    <n v="12"/>
    <n v="18"/>
  </r>
  <r>
    <n v="3445"/>
    <s v="Carla Dias"/>
    <x v="1"/>
    <d v="2024-09-27T00:00:00"/>
    <x v="1"/>
    <n v="5"/>
    <x v="0"/>
    <x v="1"/>
    <s v="-"/>
    <s v="No"/>
    <n v="0"/>
    <n v="2"/>
    <n v="3"/>
  </r>
  <r>
    <n v="3446"/>
    <s v="Diogo Martins"/>
    <x v="0"/>
    <d v="2024-09-28T00:00:00"/>
    <x v="0"/>
    <n v="15"/>
    <x v="1"/>
    <x v="0"/>
    <n v="30"/>
    <s v="Yes"/>
    <n v="20"/>
    <n v="5"/>
    <n v="60"/>
  </r>
  <r>
    <n v="3447"/>
    <s v="Elisa Campos"/>
    <x v="2"/>
    <d v="2024-09-29T00:00:00"/>
    <x v="1"/>
    <n v="10"/>
    <x v="0"/>
    <x v="1"/>
    <s v="-"/>
    <s v="Yes"/>
    <n v="20"/>
    <n v="10"/>
    <n v="20"/>
  </r>
  <r>
    <n v="3448"/>
    <s v="Fabiana Lima"/>
    <x v="1"/>
    <d v="2024-09-30T00:00:00"/>
    <x v="0"/>
    <n v="5"/>
    <x v="2"/>
    <x v="1"/>
    <s v="-"/>
    <s v="No"/>
    <n v="0"/>
    <n v="0"/>
    <n v="5"/>
  </r>
  <r>
    <n v="3449"/>
    <s v="Gabriel Santos"/>
    <x v="0"/>
    <d v="2024-10-01T00:00:00"/>
    <x v="1"/>
    <n v="15"/>
    <x v="0"/>
    <x v="0"/>
    <n v="30"/>
    <s v="Yes"/>
    <n v="20"/>
    <n v="3"/>
    <n v="62"/>
  </r>
  <r>
    <n v="3450"/>
    <s v="Helena Ferreira"/>
    <x v="2"/>
    <d v="2024-10-02T00:00:00"/>
    <x v="0"/>
    <n v="10"/>
    <x v="1"/>
    <x v="1"/>
    <s v="-"/>
    <s v="Yes"/>
    <n v="20"/>
    <n v="15"/>
    <n v="15"/>
  </r>
  <r>
    <n v="3451"/>
    <s v="Ígor Nunes"/>
    <x v="1"/>
    <d v="2024-10-03T00:00:00"/>
    <x v="1"/>
    <n v="5"/>
    <x v="0"/>
    <x v="1"/>
    <s v="-"/>
    <s v="No"/>
    <n v="0"/>
    <n v="1"/>
    <n v="4"/>
  </r>
  <r>
    <n v="3452"/>
    <s v="Joana Silveira"/>
    <x v="0"/>
    <d v="2024-10-04T00:00:00"/>
    <x v="0"/>
    <n v="15"/>
    <x v="2"/>
    <x v="0"/>
    <n v="30"/>
    <s v="Yes"/>
    <n v="20"/>
    <n v="7"/>
    <n v="58"/>
  </r>
  <r>
    <n v="3453"/>
    <s v="Kléber Oliveira"/>
    <x v="2"/>
    <d v="2024-10-05T00:00:00"/>
    <x v="1"/>
    <n v="10"/>
    <x v="0"/>
    <x v="1"/>
    <s v="-"/>
    <s v="Yes"/>
    <n v="20"/>
    <n v="10"/>
    <n v="20"/>
  </r>
  <r>
    <n v="3454"/>
    <s v="Luciana Morais"/>
    <x v="1"/>
    <d v="2024-10-06T00:00:00"/>
    <x v="0"/>
    <n v="5"/>
    <x v="1"/>
    <x v="1"/>
    <s v="-"/>
    <s v="No"/>
    <n v="0"/>
    <n v="0"/>
    <n v="5"/>
  </r>
  <r>
    <n v="3455"/>
    <s v="Marcos Vinícius"/>
    <x v="0"/>
    <d v="2024-10-07T00:00:00"/>
    <x v="1"/>
    <n v="15"/>
    <x v="0"/>
    <x v="0"/>
    <n v="30"/>
    <s v="Yes"/>
    <n v="20"/>
    <n v="20"/>
    <n v="45"/>
  </r>
  <r>
    <n v="3456"/>
    <s v="Natália Barros"/>
    <x v="2"/>
    <d v="2024-10-08T00:00:00"/>
    <x v="0"/>
    <n v="10"/>
    <x v="2"/>
    <x v="1"/>
    <s v="-"/>
    <s v="Yes"/>
    <n v="20"/>
    <n v="15"/>
    <n v="15"/>
  </r>
  <r>
    <n v="3457"/>
    <s v="Oscar Sampaio"/>
    <x v="1"/>
    <d v="2024-10-09T00:00:00"/>
    <x v="1"/>
    <n v="5"/>
    <x v="0"/>
    <x v="1"/>
    <s v="-"/>
    <s v="No"/>
    <n v="0"/>
    <n v="1"/>
    <n v="4"/>
  </r>
  <r>
    <n v="3458"/>
    <s v="Patrícia Leite"/>
    <x v="0"/>
    <d v="2024-10-10T00:00:00"/>
    <x v="0"/>
    <n v="15"/>
    <x v="1"/>
    <x v="0"/>
    <n v="30"/>
    <s v="Yes"/>
    <n v="20"/>
    <n v="3"/>
    <n v="62"/>
  </r>
  <r>
    <n v="3459"/>
    <s v="Quênia Rocha"/>
    <x v="2"/>
    <d v="2024-10-11T00:00:00"/>
    <x v="1"/>
    <n v="10"/>
    <x v="0"/>
    <x v="1"/>
    <s v="-"/>
    <s v="Yes"/>
    <n v="20"/>
    <n v="10"/>
    <n v="20"/>
  </r>
  <r>
    <n v="3460"/>
    <s v="Rafael Torres"/>
    <x v="1"/>
    <d v="2024-10-12T00:00:00"/>
    <x v="0"/>
    <n v="5"/>
    <x v="2"/>
    <x v="1"/>
    <s v="-"/>
    <s v="No"/>
    <n v="0"/>
    <n v="0"/>
    <n v="5"/>
  </r>
  <r>
    <n v="3461"/>
    <s v="Sandra Gouveia"/>
    <x v="0"/>
    <d v="2024-10-13T00:00:00"/>
    <x v="1"/>
    <n v="15"/>
    <x v="0"/>
    <x v="0"/>
    <n v="30"/>
    <s v="Yes"/>
    <n v="20"/>
    <n v="15"/>
    <n v="50"/>
  </r>
  <r>
    <n v="3462"/>
    <s v="Tiago Lacerda"/>
    <x v="2"/>
    <d v="2024-10-14T00:00:00"/>
    <x v="0"/>
    <n v="10"/>
    <x v="1"/>
    <x v="1"/>
    <s v="-"/>
    <s v="Yes"/>
    <n v="20"/>
    <n v="15"/>
    <n v="15"/>
  </r>
  <r>
    <n v="3463"/>
    <s v="Ursula Fonseca"/>
    <x v="1"/>
    <d v="2024-10-15T00:00:00"/>
    <x v="1"/>
    <n v="5"/>
    <x v="0"/>
    <x v="1"/>
    <s v="-"/>
    <s v="No"/>
    <n v="0"/>
    <n v="1"/>
    <n v="4"/>
  </r>
  <r>
    <n v="3464"/>
    <s v="Vanessa Andrade"/>
    <x v="0"/>
    <d v="2024-10-16T00:00:00"/>
    <x v="0"/>
    <n v="15"/>
    <x v="2"/>
    <x v="0"/>
    <n v="30"/>
    <s v="Yes"/>
    <n v="20"/>
    <n v="7"/>
    <n v="58"/>
  </r>
  <r>
    <n v="3465"/>
    <s v="William Castro"/>
    <x v="2"/>
    <d v="2024-10-17T00:00:00"/>
    <x v="1"/>
    <n v="10"/>
    <x v="0"/>
    <x v="1"/>
    <s v="-"/>
    <s v="Yes"/>
    <n v="20"/>
    <n v="10"/>
    <n v="20"/>
  </r>
  <r>
    <n v="3466"/>
    <s v="Xavier Monteiro"/>
    <x v="1"/>
    <d v="2024-10-18T00:00:00"/>
    <x v="0"/>
    <n v="5"/>
    <x v="1"/>
    <x v="1"/>
    <s v="-"/>
    <s v="No"/>
    <n v="0"/>
    <n v="0"/>
    <n v="5"/>
  </r>
  <r>
    <n v="3467"/>
    <s v="Yasmin Figueira"/>
    <x v="0"/>
    <d v="2024-10-19T00:00:00"/>
    <x v="1"/>
    <n v="15"/>
    <x v="0"/>
    <x v="0"/>
    <n v="30"/>
    <s v="Yes"/>
    <n v="20"/>
    <n v="15"/>
    <n v="50"/>
  </r>
  <r>
    <n v="3468"/>
    <s v="Zacarias Mendonça"/>
    <x v="2"/>
    <d v="2024-10-20T00:00:00"/>
    <x v="0"/>
    <n v="10"/>
    <x v="2"/>
    <x v="1"/>
    <s v="-"/>
    <s v="Yes"/>
    <n v="20"/>
    <n v="12"/>
    <n v="18"/>
  </r>
  <r>
    <n v="3469"/>
    <s v="Amanda Menezes"/>
    <x v="1"/>
    <d v="2024-10-21T00:00:00"/>
    <x v="1"/>
    <n v="5"/>
    <x v="0"/>
    <x v="1"/>
    <s v="-"/>
    <s v="No"/>
    <n v="0"/>
    <n v="2"/>
    <n v="3"/>
  </r>
  <r>
    <n v="3470"/>
    <s v="Bruno Santos"/>
    <x v="0"/>
    <d v="2024-10-22T00:00:00"/>
    <x v="0"/>
    <n v="15"/>
    <x v="1"/>
    <x v="0"/>
    <n v="30"/>
    <s v="Yes"/>
    <n v="20"/>
    <n v="5"/>
    <n v="60"/>
  </r>
  <r>
    <n v="3471"/>
    <s v="Carla Ferreira"/>
    <x v="2"/>
    <d v="2024-10-23T00:00:00"/>
    <x v="1"/>
    <n v="10"/>
    <x v="0"/>
    <x v="1"/>
    <s v="-"/>
    <s v="Yes"/>
    <n v="20"/>
    <n v="10"/>
    <n v="20"/>
  </r>
  <r>
    <n v="3472"/>
    <s v="Diogo Alves"/>
    <x v="1"/>
    <d v="2024-10-24T00:00:00"/>
    <x v="0"/>
    <n v="5"/>
    <x v="2"/>
    <x v="1"/>
    <s v="-"/>
    <s v="No"/>
    <n v="0"/>
    <n v="0"/>
    <n v="5"/>
  </r>
  <r>
    <n v="3473"/>
    <s v="Elisa Neves"/>
    <x v="0"/>
    <d v="2024-10-25T00:00:00"/>
    <x v="1"/>
    <n v="15"/>
    <x v="0"/>
    <x v="0"/>
    <n v="30"/>
    <s v="Yes"/>
    <n v="20"/>
    <n v="3"/>
    <n v="62"/>
  </r>
  <r>
    <n v="3474"/>
    <s v="Fabiano Pires"/>
    <x v="2"/>
    <d v="2024-10-26T00:00:00"/>
    <x v="0"/>
    <n v="10"/>
    <x v="1"/>
    <x v="1"/>
    <s v="-"/>
    <s v="Yes"/>
    <n v="20"/>
    <n v="15"/>
    <n v="15"/>
  </r>
  <r>
    <n v="3475"/>
    <s v="Giovana Ribeiro"/>
    <x v="1"/>
    <d v="2024-10-27T00:00:00"/>
    <x v="1"/>
    <n v="5"/>
    <x v="0"/>
    <x v="1"/>
    <s v="-"/>
    <s v="No"/>
    <n v="0"/>
    <n v="1"/>
    <n v="4"/>
  </r>
  <r>
    <n v="3476"/>
    <s v="Hélio Costa"/>
    <x v="0"/>
    <d v="2024-10-28T00:00:00"/>
    <x v="0"/>
    <n v="15"/>
    <x v="2"/>
    <x v="0"/>
    <n v="30"/>
    <s v="Yes"/>
    <n v="20"/>
    <n v="7"/>
    <n v="58"/>
  </r>
  <r>
    <n v="3477"/>
    <s v="Íris Loureiro"/>
    <x v="2"/>
    <d v="2024-10-29T00:00:00"/>
    <x v="1"/>
    <n v="10"/>
    <x v="0"/>
    <x v="1"/>
    <s v="-"/>
    <s v="Yes"/>
    <n v="20"/>
    <n v="10"/>
    <n v="20"/>
  </r>
  <r>
    <n v="3478"/>
    <s v="João Pereira"/>
    <x v="1"/>
    <d v="2024-10-30T00:00:00"/>
    <x v="0"/>
    <n v="5"/>
    <x v="1"/>
    <x v="1"/>
    <s v="-"/>
    <s v="No"/>
    <n v="0"/>
    <n v="0"/>
    <n v="5"/>
  </r>
  <r>
    <n v="3479"/>
    <s v="Klara Silva"/>
    <x v="0"/>
    <d v="2024-10-31T00:00:00"/>
    <x v="1"/>
    <n v="15"/>
    <x v="0"/>
    <x v="0"/>
    <n v="30"/>
    <s v="Yes"/>
    <n v="20"/>
    <n v="20"/>
    <n v="45"/>
  </r>
  <r>
    <n v="3480"/>
    <s v="Luciana Barros"/>
    <x v="2"/>
    <d v="2024-11-01T00:00:00"/>
    <x v="0"/>
    <n v="10"/>
    <x v="2"/>
    <x v="1"/>
    <s v="-"/>
    <s v="Yes"/>
    <n v="20"/>
    <n v="15"/>
    <n v="15"/>
  </r>
  <r>
    <n v="3481"/>
    <s v="Marcos Gomes"/>
    <x v="1"/>
    <d v="2024-11-02T00:00:00"/>
    <x v="1"/>
    <n v="5"/>
    <x v="0"/>
    <x v="1"/>
    <s v="-"/>
    <s v="No"/>
    <n v="0"/>
    <n v="1"/>
    <n v="4"/>
  </r>
  <r>
    <n v="3482"/>
    <s v="Natália Soares"/>
    <x v="0"/>
    <d v="2024-11-03T00:00:00"/>
    <x v="0"/>
    <n v="15"/>
    <x v="1"/>
    <x v="0"/>
    <n v="30"/>
    <s v="Yes"/>
    <n v="20"/>
    <n v="3"/>
    <n v="62"/>
  </r>
  <r>
    <n v="3483"/>
    <s v="Oscar Machado"/>
    <x v="2"/>
    <d v="2024-11-04T00:00:00"/>
    <x v="1"/>
    <n v="10"/>
    <x v="0"/>
    <x v="1"/>
    <s v="-"/>
    <s v="Yes"/>
    <n v="20"/>
    <n v="10"/>
    <n v="20"/>
  </r>
  <r>
    <n v="3484"/>
    <s v="Patrícia Lima"/>
    <x v="1"/>
    <d v="2024-11-05T00:00:00"/>
    <x v="0"/>
    <n v="5"/>
    <x v="2"/>
    <x v="1"/>
    <s v="-"/>
    <s v="No"/>
    <n v="0"/>
    <n v="0"/>
    <n v="5"/>
  </r>
  <r>
    <n v="3485"/>
    <s v="Quirino Neto"/>
    <x v="0"/>
    <d v="2024-11-06T00:00:00"/>
    <x v="1"/>
    <n v="15"/>
    <x v="0"/>
    <x v="0"/>
    <n v="30"/>
    <s v="Yes"/>
    <n v="20"/>
    <n v="15"/>
    <n v="50"/>
  </r>
  <r>
    <n v="3486"/>
    <s v="Rafaela Souza"/>
    <x v="1"/>
    <d v="2024-11-07T00:00:00"/>
    <x v="0"/>
    <n v="5"/>
    <x v="0"/>
    <x v="1"/>
    <s v="-"/>
    <s v="No"/>
    <n v="0"/>
    <n v="0"/>
    <n v="5"/>
  </r>
  <r>
    <n v="3487"/>
    <s v="Sandro Almeida"/>
    <x v="0"/>
    <d v="2024-11-08T00:00:00"/>
    <x v="1"/>
    <n v="15"/>
    <x v="2"/>
    <x v="0"/>
    <n v="30"/>
    <s v="Yes"/>
    <n v="20"/>
    <n v="7"/>
    <n v="58"/>
  </r>
  <r>
    <n v="3488"/>
    <s v="Tânia Ribeiro"/>
    <x v="2"/>
    <d v="2024-11-09T00:00:00"/>
    <x v="0"/>
    <n v="10"/>
    <x v="1"/>
    <x v="1"/>
    <s v="-"/>
    <s v="Yes"/>
    <n v="20"/>
    <n v="10"/>
    <n v="20"/>
  </r>
  <r>
    <n v="3489"/>
    <s v="Ugo Dias"/>
    <x v="1"/>
    <d v="2024-11-10T00:00:00"/>
    <x v="1"/>
    <n v="5"/>
    <x v="2"/>
    <x v="1"/>
    <s v="-"/>
    <s v="No"/>
    <n v="0"/>
    <n v="1"/>
    <n v="4"/>
  </r>
  <r>
    <n v="3490"/>
    <s v="Valéria Lima"/>
    <x v="0"/>
    <d v="2024-11-11T00:00:00"/>
    <x v="0"/>
    <n v="15"/>
    <x v="0"/>
    <x v="0"/>
    <n v="30"/>
    <s v="Yes"/>
    <n v="20"/>
    <n v="15"/>
    <n v="50"/>
  </r>
  <r>
    <n v="3491"/>
    <s v="William Fernandes"/>
    <x v="2"/>
    <d v="2024-11-12T00:00:00"/>
    <x v="1"/>
    <n v="10"/>
    <x v="0"/>
    <x v="1"/>
    <s v="-"/>
    <s v="Yes"/>
    <n v="20"/>
    <n v="5"/>
    <n v="25"/>
  </r>
  <r>
    <n v="3492"/>
    <s v="Xuxa Mendes"/>
    <x v="1"/>
    <d v="2024-11-13T00:00:00"/>
    <x v="0"/>
    <n v="5"/>
    <x v="1"/>
    <x v="1"/>
    <s v="-"/>
    <s v="No"/>
    <n v="0"/>
    <n v="0"/>
    <n v="5"/>
  </r>
  <r>
    <n v="3493"/>
    <s v="Ygor Farias"/>
    <x v="0"/>
    <d v="2024-11-14T00:00:00"/>
    <x v="1"/>
    <n v="15"/>
    <x v="2"/>
    <x v="0"/>
    <n v="30"/>
    <s v="Yes"/>
    <n v="20"/>
    <n v="20"/>
    <n v="45"/>
  </r>
  <r>
    <n v="3494"/>
    <s v="Zilda Barros"/>
    <x v="2"/>
    <d v="2024-11-15T00:00:00"/>
    <x v="0"/>
    <n v="10"/>
    <x v="2"/>
    <x v="1"/>
    <s v="-"/>
    <s v="Yes"/>
    <n v="20"/>
    <n v="12"/>
    <n v="18"/>
  </r>
  <r>
    <n v="3495"/>
    <s v="Amanda Santos"/>
    <x v="1"/>
    <d v="2024-11-16T00:00:00"/>
    <x v="1"/>
    <n v="5"/>
    <x v="0"/>
    <x v="1"/>
    <s v="-"/>
    <s v="No"/>
    <n v="0"/>
    <n v="2"/>
    <n v="3"/>
  </r>
  <r>
    <n v="3496"/>
    <s v="Bruno Costa"/>
    <x v="0"/>
    <d v="2024-11-17T00:00:00"/>
    <x v="0"/>
    <n v="15"/>
    <x v="1"/>
    <x v="0"/>
    <n v="30"/>
    <s v="Yes"/>
    <n v="20"/>
    <n v="5"/>
    <n v="60"/>
  </r>
  <r>
    <n v="3497"/>
    <s v="Carla Rodrigues"/>
    <x v="2"/>
    <d v="2024-11-18T00:00:00"/>
    <x v="1"/>
    <n v="10"/>
    <x v="0"/>
    <x v="1"/>
    <s v="-"/>
    <s v="Yes"/>
    <n v="20"/>
    <n v="10"/>
    <n v="20"/>
  </r>
  <r>
    <n v="3498"/>
    <s v="Diogo Pereira"/>
    <x v="1"/>
    <d v="2024-11-19T00:00:00"/>
    <x v="0"/>
    <n v="5"/>
    <x v="2"/>
    <x v="1"/>
    <s v="-"/>
    <s v="No"/>
    <n v="0"/>
    <n v="0"/>
    <n v="5"/>
  </r>
  <r>
    <n v="3499"/>
    <s v="Elisa Correia"/>
    <x v="0"/>
    <d v="2024-11-20T00:00:00"/>
    <x v="1"/>
    <n v="15"/>
    <x v="0"/>
    <x v="0"/>
    <n v="30"/>
    <s v="Yes"/>
    <n v="20"/>
    <n v="3"/>
    <n v="62"/>
  </r>
  <r>
    <n v="3500"/>
    <s v="Fábio Lourenço"/>
    <x v="2"/>
    <d v="2024-11-21T00:00:00"/>
    <x v="0"/>
    <n v="10"/>
    <x v="1"/>
    <x v="1"/>
    <s v="-"/>
    <s v="Yes"/>
    <n v="20"/>
    <n v="15"/>
    <n v="15"/>
  </r>
  <r>
    <n v="3501"/>
    <s v="Gabriela Neves"/>
    <x v="1"/>
    <d v="2024-11-22T00:00:00"/>
    <x v="1"/>
    <n v="5"/>
    <x v="0"/>
    <x v="1"/>
    <s v="-"/>
    <s v="No"/>
    <n v="0"/>
    <n v="1"/>
    <n v="4"/>
  </r>
  <r>
    <n v="3502"/>
    <s v="Henrique Gonçalves"/>
    <x v="0"/>
    <d v="2024-11-23T00:00:00"/>
    <x v="0"/>
    <n v="15"/>
    <x v="2"/>
    <x v="0"/>
    <n v="30"/>
    <s v="Yes"/>
    <n v="20"/>
    <n v="7"/>
    <n v="58"/>
  </r>
  <r>
    <n v="3503"/>
    <s v="Íris Santos"/>
    <x v="2"/>
    <d v="2024-11-24T00:00:00"/>
    <x v="1"/>
    <n v="10"/>
    <x v="0"/>
    <x v="1"/>
    <s v="-"/>
    <s v="Yes"/>
    <n v="20"/>
    <n v="10"/>
    <n v="20"/>
  </r>
  <r>
    <n v="3504"/>
    <s v="João Marcelo Alves"/>
    <x v="1"/>
    <d v="2024-11-25T00:00:00"/>
    <x v="0"/>
    <n v="5"/>
    <x v="1"/>
    <x v="1"/>
    <s v="-"/>
    <s v="No"/>
    <n v="0"/>
    <n v="0"/>
    <n v="5"/>
  </r>
  <r>
    <n v="3505"/>
    <s v="Klara Fonseca"/>
    <x v="0"/>
    <d v="2024-11-26T00:00:00"/>
    <x v="1"/>
    <n v="15"/>
    <x v="0"/>
    <x v="0"/>
    <n v="30"/>
    <s v="Yes"/>
    <n v="20"/>
    <n v="20"/>
    <n v="45"/>
  </r>
  <r>
    <n v="3506"/>
    <s v="Lucas Mendonça"/>
    <x v="2"/>
    <d v="2024-11-27T00:00:00"/>
    <x v="0"/>
    <n v="10"/>
    <x v="2"/>
    <x v="1"/>
    <s v="-"/>
    <s v="Yes"/>
    <n v="20"/>
    <n v="15"/>
    <n v="15"/>
  </r>
  <r>
    <n v="3507"/>
    <s v="Marcela Torres"/>
    <x v="1"/>
    <d v="2024-11-28T00:00:00"/>
    <x v="1"/>
    <n v="5"/>
    <x v="0"/>
    <x v="1"/>
    <s v="-"/>
    <s v="No"/>
    <n v="0"/>
    <n v="1"/>
    <n v="4"/>
  </r>
  <r>
    <n v="3508"/>
    <s v="Natália Castro"/>
    <x v="0"/>
    <d v="2024-11-29T00:00:00"/>
    <x v="0"/>
    <n v="15"/>
    <x v="1"/>
    <x v="0"/>
    <n v="30"/>
    <s v="Yes"/>
    <n v="20"/>
    <n v="3"/>
    <n v="62"/>
  </r>
  <r>
    <n v="3509"/>
    <s v="Oscar Martins"/>
    <x v="2"/>
    <d v="2024-11-30T00:00:00"/>
    <x v="1"/>
    <n v="10"/>
    <x v="0"/>
    <x v="1"/>
    <s v="-"/>
    <s v="Yes"/>
    <n v="20"/>
    <n v="10"/>
    <n v="20"/>
  </r>
  <r>
    <n v="3510"/>
    <s v="Patrícia Oliveira"/>
    <x v="1"/>
    <d v="2024-12-01T00:00:00"/>
    <x v="0"/>
    <n v="5"/>
    <x v="2"/>
    <x v="1"/>
    <s v="-"/>
    <s v="No"/>
    <n v="0"/>
    <n v="0"/>
    <n v="5"/>
  </r>
  <r>
    <n v="3511"/>
    <s v="Quentin Nogueira"/>
    <x v="0"/>
    <d v="2024-12-02T00:00:00"/>
    <x v="1"/>
    <n v="15"/>
    <x v="0"/>
    <x v="0"/>
    <n v="30"/>
    <s v="Yes"/>
    <n v="20"/>
    <n v="15"/>
    <n v="50"/>
  </r>
  <r>
    <n v="3512"/>
    <s v="Raquel Silva"/>
    <x v="2"/>
    <d v="2024-12-03T00:00:00"/>
    <x v="0"/>
    <n v="10"/>
    <x v="1"/>
    <x v="1"/>
    <s v="-"/>
    <s v="Yes"/>
    <n v="20"/>
    <n v="15"/>
    <n v="15"/>
  </r>
  <r>
    <n v="3513"/>
    <s v="Sandro Gomes"/>
    <x v="1"/>
    <d v="2024-12-04T00:00:00"/>
    <x v="1"/>
    <n v="5"/>
    <x v="0"/>
    <x v="1"/>
    <s v="-"/>
    <s v="No"/>
    <n v="0"/>
    <n v="1"/>
    <n v="4"/>
  </r>
  <r>
    <n v="3514"/>
    <s v="Tânia Machado"/>
    <x v="0"/>
    <d v="2024-12-05T00:00:00"/>
    <x v="0"/>
    <n v="15"/>
    <x v="2"/>
    <x v="0"/>
    <n v="30"/>
    <s v="Yes"/>
    <n v="20"/>
    <n v="7"/>
    <n v="58"/>
  </r>
  <r>
    <n v="3515"/>
    <s v="Ursula Silva"/>
    <x v="2"/>
    <d v="2024-12-06T00:00:00"/>
    <x v="1"/>
    <n v="10"/>
    <x v="0"/>
    <x v="1"/>
    <s v="-"/>
    <s v="Yes"/>
    <n v="20"/>
    <n v="10"/>
    <n v="20"/>
  </r>
  <r>
    <n v="3516"/>
    <s v="Vanessa Moraes"/>
    <x v="1"/>
    <d v="2024-12-07T00:00:00"/>
    <x v="0"/>
    <n v="5"/>
    <x v="1"/>
    <x v="1"/>
    <s v="-"/>
    <s v="No"/>
    <n v="0"/>
    <n v="0"/>
    <n v="5"/>
  </r>
  <r>
    <n v="3517"/>
    <s v="William Carvalho"/>
    <x v="0"/>
    <d v="2024-12-08T00:00:00"/>
    <x v="1"/>
    <n v="15"/>
    <x v="0"/>
    <x v="0"/>
    <n v="30"/>
    <s v="Yes"/>
    <n v="20"/>
    <n v="20"/>
    <n v="45"/>
  </r>
  <r>
    <n v="3518"/>
    <s v="Xavier Reis"/>
    <x v="2"/>
    <d v="2024-12-09T00:00:00"/>
    <x v="0"/>
    <n v="10"/>
    <x v="2"/>
    <x v="1"/>
    <s v="-"/>
    <s v="Yes"/>
    <n v="20"/>
    <n v="12"/>
    <n v="18"/>
  </r>
  <r>
    <n v="3519"/>
    <s v="Yasmin Rocha"/>
    <x v="1"/>
    <d v="2024-12-10T00:00:00"/>
    <x v="1"/>
    <n v="5"/>
    <x v="0"/>
    <x v="1"/>
    <s v="-"/>
    <s v="No"/>
    <n v="0"/>
    <n v="2"/>
    <n v="3"/>
  </r>
  <r>
    <n v="3520"/>
    <s v="Zacarias Duarte"/>
    <x v="0"/>
    <d v="2024-12-11T00:00:00"/>
    <x v="0"/>
    <n v="15"/>
    <x v="1"/>
    <x v="0"/>
    <n v="30"/>
    <s v="Yes"/>
    <n v="20"/>
    <n v="5"/>
    <n v="60"/>
  </r>
  <r>
    <n v="3521"/>
    <s v="Amanda Freitas"/>
    <x v="2"/>
    <d v="2024-12-12T00:00:00"/>
    <x v="1"/>
    <n v="10"/>
    <x v="0"/>
    <x v="1"/>
    <s v="-"/>
    <s v="Yes"/>
    <n v="20"/>
    <n v="10"/>
    <n v="20"/>
  </r>
  <r>
    <n v="3522"/>
    <s v="Bruno Almeida"/>
    <x v="1"/>
    <d v="2024-12-13T00:00:00"/>
    <x v="0"/>
    <n v="5"/>
    <x v="2"/>
    <x v="1"/>
    <s v="-"/>
    <s v="No"/>
    <n v="0"/>
    <n v="0"/>
    <n v="5"/>
  </r>
  <r>
    <n v="3523"/>
    <s v="Carla Siqueira"/>
    <x v="0"/>
    <d v="2024-12-14T00:00:00"/>
    <x v="1"/>
    <n v="15"/>
    <x v="0"/>
    <x v="0"/>
    <n v="30"/>
    <s v="Yes"/>
    <n v="20"/>
    <n v="3"/>
    <n v="62"/>
  </r>
  <r>
    <n v="3524"/>
    <s v="Diogo Ramos"/>
    <x v="2"/>
    <d v="2024-12-15T00:00:00"/>
    <x v="0"/>
    <n v="10"/>
    <x v="1"/>
    <x v="1"/>
    <s v="-"/>
    <s v="Yes"/>
    <n v="20"/>
    <n v="15"/>
    <n v="15"/>
  </r>
  <r>
    <n v="3525"/>
    <s v="Elisa Magalhães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BB091-B210-4946-A4FE-FDA1AC26F89D}" name="Tabela dinâmica3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8B5D7-DEDD-415A-A415-BB56E33FC6E8}" name="tbl_easeasonpass_total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9280F-67AA-4039-806E-8C0EEC779E24}" name="tbl_annual_total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A540321-56E6-4543-98FA-37828CCD442B}" sourceName="Subscription Type">
  <pivotTables>
    <pivotTable tabId="3" name="tbl_annual_total"/>
    <pivotTable tabId="3" name="tbl_easeasonpass_total"/>
    <pivotTable tabId="3" name="Tabela dinâmica3"/>
  </pivotTables>
  <data>
    <tabular pivotCacheId="14414946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F49874-CE0C-4D13-800F-1104E17BF358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" sqref="E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workbookViewId="0">
      <selection activeCell="B6" sqref="B6"/>
    </sheetView>
  </sheetViews>
  <sheetFormatPr defaultRowHeight="14.4" x14ac:dyDescent="0.3"/>
  <cols>
    <col min="2" max="2" width="16.77734375" bestFit="1" customWidth="1"/>
    <col min="3" max="3" width="32.6640625" customWidth="1"/>
    <col min="4" max="4" width="30.5546875" bestFit="1" customWidth="1"/>
    <col min="5" max="5" width="11.5546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2" t="s">
        <v>313</v>
      </c>
      <c r="C3" s="12"/>
      <c r="D3" s="12"/>
      <c r="E3" s="12"/>
      <c r="F3" s="12"/>
    </row>
    <row r="6" spans="2:6" x14ac:dyDescent="0.3">
      <c r="B6" t="s">
        <v>314</v>
      </c>
    </row>
    <row r="7" spans="2:6" x14ac:dyDescent="0.3">
      <c r="B7" t="s">
        <v>315</v>
      </c>
    </row>
    <row r="9" spans="2:6" x14ac:dyDescent="0.3">
      <c r="B9" s="14" t="s">
        <v>16</v>
      </c>
      <c r="C9" t="s">
        <v>24</v>
      </c>
    </row>
    <row r="11" spans="2:6" x14ac:dyDescent="0.3">
      <c r="B11" s="14" t="s">
        <v>317</v>
      </c>
      <c r="C11" t="s">
        <v>316</v>
      </c>
    </row>
    <row r="12" spans="2:6" x14ac:dyDescent="0.3">
      <c r="B12" s="15" t="s">
        <v>23</v>
      </c>
      <c r="C12" s="13">
        <v>217</v>
      </c>
    </row>
    <row r="13" spans="2:6" x14ac:dyDescent="0.3">
      <c r="B13" s="15" t="s">
        <v>19</v>
      </c>
      <c r="C13" s="13">
        <v>1537</v>
      </c>
    </row>
    <row r="14" spans="2:6" x14ac:dyDescent="0.3">
      <c r="B14" s="15" t="s">
        <v>318</v>
      </c>
      <c r="C14" s="13">
        <v>1754</v>
      </c>
    </row>
    <row r="17" spans="2:5" x14ac:dyDescent="0.3">
      <c r="B17" s="15" t="s">
        <v>321</v>
      </c>
    </row>
    <row r="19" spans="2:5" x14ac:dyDescent="0.3">
      <c r="B19" s="14" t="s">
        <v>16</v>
      </c>
      <c r="C19" t="s">
        <v>24</v>
      </c>
    </row>
    <row r="21" spans="2:5" x14ac:dyDescent="0.3">
      <c r="B21" s="14" t="s">
        <v>317</v>
      </c>
      <c r="C21" t="s">
        <v>320</v>
      </c>
    </row>
    <row r="22" spans="2:5" x14ac:dyDescent="0.3">
      <c r="B22" s="15" t="s">
        <v>22</v>
      </c>
      <c r="C22" s="17">
        <v>0</v>
      </c>
    </row>
    <row r="23" spans="2:5" x14ac:dyDescent="0.3">
      <c r="B23" s="15" t="s">
        <v>26</v>
      </c>
      <c r="C23" s="17">
        <v>0</v>
      </c>
    </row>
    <row r="24" spans="2:5" x14ac:dyDescent="0.3">
      <c r="B24" s="15" t="s">
        <v>18</v>
      </c>
      <c r="C24" s="17">
        <v>600</v>
      </c>
    </row>
    <row r="25" spans="2:5" x14ac:dyDescent="0.3">
      <c r="B25" s="15" t="s">
        <v>318</v>
      </c>
      <c r="C25" s="17">
        <v>600</v>
      </c>
      <c r="E25" s="18">
        <f>GETPIVOTDATA("EA Play Season Pass
Price",$B$21)</f>
        <v>600</v>
      </c>
    </row>
    <row r="28" spans="2:5" x14ac:dyDescent="0.3">
      <c r="B28" t="s">
        <v>322</v>
      </c>
    </row>
    <row r="30" spans="2:5" x14ac:dyDescent="0.3">
      <c r="B30" s="14" t="s">
        <v>16</v>
      </c>
      <c r="C30" t="s">
        <v>24</v>
      </c>
    </row>
    <row r="32" spans="2:5" x14ac:dyDescent="0.3">
      <c r="B32" s="14" t="s">
        <v>317</v>
      </c>
      <c r="C32" t="s">
        <v>323</v>
      </c>
    </row>
    <row r="33" spans="2:5" x14ac:dyDescent="0.3">
      <c r="B33" s="15" t="s">
        <v>22</v>
      </c>
      <c r="C33" s="13">
        <v>0</v>
      </c>
    </row>
    <row r="34" spans="2:5" x14ac:dyDescent="0.3">
      <c r="B34" s="15" t="s">
        <v>26</v>
      </c>
      <c r="C34" s="13">
        <v>540</v>
      </c>
    </row>
    <row r="35" spans="2:5" x14ac:dyDescent="0.3">
      <c r="B35" s="15" t="s">
        <v>18</v>
      </c>
      <c r="C35" s="13">
        <v>400</v>
      </c>
    </row>
    <row r="36" spans="2:5" x14ac:dyDescent="0.3">
      <c r="B36" s="15" t="s">
        <v>318</v>
      </c>
      <c r="C36" s="13">
        <v>940</v>
      </c>
      <c r="E36" s="18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150"/>
  <sheetViews>
    <sheetView showGridLines="0" showRowColHeaders="0" tabSelected="1" zoomScale="80" zoomScaleNormal="80" workbookViewId="0">
      <selection activeCell="Y12" sqref="Y12"/>
    </sheetView>
  </sheetViews>
  <sheetFormatPr defaultRowHeight="14.4" x14ac:dyDescent="0.3"/>
  <cols>
    <col min="1" max="1" width="28.109375" style="4" customWidth="1"/>
    <col min="2" max="2" width="3.5546875" customWidth="1"/>
    <col min="12" max="12" width="6.5546875" customWidth="1"/>
  </cols>
  <sheetData>
    <row r="2" spans="1:20" ht="39" customHeight="1" thickBot="1" x14ac:dyDescent="0.45">
      <c r="C2" s="20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  <c r="T2" s="19"/>
    </row>
    <row r="3" spans="1:20" ht="15.6" customHeight="1" thickTop="1" x14ac:dyDescent="0.3"/>
    <row r="4" spans="1:20" s="7" customFormat="1" ht="7.2" customHeight="1" x14ac:dyDescent="0.3">
      <c r="A4" s="4"/>
    </row>
    <row r="5" spans="1:20" s="7" customFormat="1" ht="10.5" customHeight="1" x14ac:dyDescent="0.3">
      <c r="A5" s="4"/>
      <c r="C5" s="21"/>
    </row>
    <row r="6" spans="1:20" s="7" customFormat="1" ht="9.75" customHeight="1" x14ac:dyDescent="0.3">
      <c r="A6" s="4"/>
    </row>
    <row r="7" spans="1:20" s="7" customFormat="1" ht="33" customHeight="1" x14ac:dyDescent="0.3">
      <c r="A7" s="4"/>
    </row>
    <row r="8" spans="1:20" s="7" customFormat="1" x14ac:dyDescent="0.3">
      <c r="A8" s="4"/>
    </row>
    <row r="9" spans="1:20" s="7" customFormat="1" x14ac:dyDescent="0.3">
      <c r="A9" s="4"/>
    </row>
    <row r="10" spans="1:20" s="7" customFormat="1" x14ac:dyDescent="0.3">
      <c r="A10" s="4"/>
    </row>
    <row r="11" spans="1:20" s="7" customFormat="1" x14ac:dyDescent="0.3">
      <c r="A11" s="4"/>
    </row>
    <row r="12" spans="1:20" s="7" customFormat="1" x14ac:dyDescent="0.3">
      <c r="A12" s="4"/>
    </row>
    <row r="13" spans="1:20" s="7" customFormat="1" x14ac:dyDescent="0.3">
      <c r="A13" s="4"/>
    </row>
    <row r="14" spans="1:20" s="7" customFormat="1" x14ac:dyDescent="0.3">
      <c r="A14" s="4"/>
    </row>
    <row r="15" spans="1:20" s="7" customFormat="1" x14ac:dyDescent="0.3">
      <c r="A15" s="4"/>
    </row>
    <row r="16" spans="1:20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</sheetData>
  <phoneticPr fontId="7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Kassia Silva</cp:lastModifiedBy>
  <dcterms:created xsi:type="dcterms:W3CDTF">2024-12-19T13:13:10Z</dcterms:created>
  <dcterms:modified xsi:type="dcterms:W3CDTF">2026-10-14T18:38:15Z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